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damm.sharepoint.com/sites/GDEXPORTUK/OffTrade/Grocery/Gianni Stocco/Tesco/2026/JBP/Tesco/"/>
    </mc:Choice>
  </mc:AlternateContent>
  <xr:revisionPtr revIDLastSave="1037" documentId="8_{7C9282FE-48CB-4FFE-A372-67ED77D7DCE9}" xr6:coauthVersionLast="47" xr6:coauthVersionMax="47" xr10:uidLastSave="{972619B0-8FF3-4FC5-8CCB-C77832403EF1}"/>
  <bookViews>
    <workbookView xWindow="-110" yWindow="-110" windowWidth="19420" windowHeight="10300" firstSheet="4" xr2:uid="{8A6D0D41-E64D-4F4A-8A7F-6961C85D94B8}"/>
  </bookViews>
  <sheets>
    <sheet name="Tesco" sheetId="2" r:id="rId1"/>
    <sheet name="Sainsbury's" sheetId="3" r:id="rId2"/>
    <sheet name="Waitrose " sheetId="4" r:id="rId3"/>
    <sheet name="Morrisons" sheetId="5" r:id="rId4"/>
    <sheet name="Asda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 s="1"/>
  <c r="E3" i="4" s="1"/>
  <c r="F3" i="4" s="1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T3" i="4" s="1"/>
  <c r="AU3" i="4" s="1"/>
  <c r="AV3" i="4" s="1"/>
  <c r="AW3" i="4" s="1"/>
  <c r="AX3" i="4" s="1"/>
  <c r="AY3" i="4" s="1"/>
  <c r="AZ3" i="4" s="1"/>
  <c r="BA3" i="4" s="1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Cowan-Smith</author>
  </authors>
  <commentList>
    <comment ref="AD17" authorId="0" shapeId="0" xr:uid="{8DF797A8-C041-4510-B24E-E53CB5B555B8}">
      <text>
        <r>
          <rPr>
            <b/>
            <sz val="9"/>
            <color indexed="81"/>
            <rFont val="Tahoma"/>
            <family val="2"/>
          </rPr>
          <t>Dan Cowan-Smith:</t>
        </r>
        <r>
          <rPr>
            <sz val="9"/>
            <color indexed="81"/>
            <rFont val="Tahoma"/>
            <family val="2"/>
          </rPr>
          <t xml:space="preserve">
Switch to Can 
</t>
        </r>
      </text>
    </comment>
  </commentList>
</comments>
</file>

<file path=xl/sharedStrings.xml><?xml version="1.0" encoding="utf-8"?>
<sst xmlns="http://schemas.openxmlformats.org/spreadsheetml/2006/main" count="503" uniqueCount="179">
  <si>
    <t>PA1 EVENTS</t>
  </si>
  <si>
    <t>Mothers Day Sun 15/2 - 15/3</t>
  </si>
  <si>
    <t>Drinks Festival
16/3 - 6/4</t>
  </si>
  <si>
    <t>Great Value
7/4 - 27/4</t>
  </si>
  <si>
    <t>Food Event
28/4 - 13/5</t>
  </si>
  <si>
    <t xml:space="preserve">Clean up  </t>
  </si>
  <si>
    <t xml:space="preserve">Fathers Day  
&amp;
 Great Value
28/5 - 21/6
</t>
  </si>
  <si>
    <t>World Cup
22/6 - 19/7</t>
  </si>
  <si>
    <t>Back to School
20/7 - 4/9</t>
  </si>
  <si>
    <t>Great Value
3/9 - 21/9</t>
  </si>
  <si>
    <t>Halloween
22/9 - 31/10
BWS TBC</t>
  </si>
  <si>
    <t>Halloween
22/9 - 31/10
Diwali
31-37</t>
  </si>
  <si>
    <t>Christmas 1/11 - 10/12
Diwali
31-37</t>
  </si>
  <si>
    <t>Christmas &amp; Trade
1/11 - 10/12
Diwali
31-37</t>
  </si>
  <si>
    <t>Christmas &amp; Trade
1/11 - 10/12</t>
  </si>
  <si>
    <t>Party Time
10/12 - 31/12</t>
  </si>
  <si>
    <t>Great Value 
1/1-19/1</t>
  </si>
  <si>
    <t>Valentine
20/1 - 14/2</t>
  </si>
  <si>
    <t>Mothers Day
15/2 - 7/3</t>
  </si>
  <si>
    <t>PA2 EVENTS</t>
  </si>
  <si>
    <t>Pet</t>
  </si>
  <si>
    <t>Toys</t>
  </si>
  <si>
    <t>Drink Festival 
30/4 - 27/5</t>
  </si>
  <si>
    <t>BBQ
28/5 - 23/6</t>
  </si>
  <si>
    <t>Grocery</t>
  </si>
  <si>
    <t>BTS</t>
  </si>
  <si>
    <t>Christmas</t>
  </si>
  <si>
    <t>Clean up</t>
  </si>
  <si>
    <t>Easter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</si>
  <si>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</si>
  <si>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</si>
  <si>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</si>
  <si>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</si>
  <si>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</si>
  <si>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</si>
  <si>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</si>
  <si>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</si>
  <si>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</si>
  <si>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</si>
  <si>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</si>
  <si>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</si>
  <si>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</si>
  <si>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Estrella 10x330ml Can</t>
  </si>
  <si>
    <t>Estrella 12x330ml NRB</t>
  </si>
  <si>
    <t>Estrella 4x440ml CAN ME</t>
  </si>
  <si>
    <t>Estrella 4x440ml CAN Express</t>
  </si>
  <si>
    <t>Estrella Damm 10x440ml</t>
  </si>
  <si>
    <t>Estrella Damm 0%</t>
  </si>
  <si>
    <t>Kirin 4x440ml</t>
  </si>
  <si>
    <t>º</t>
  </si>
  <si>
    <t>New Range</t>
  </si>
  <si>
    <t>C17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</si>
  <si>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</si>
  <si>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</si>
  <si>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</si>
  <si>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</si>
  <si>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</si>
  <si>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</si>
  <si>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</si>
  <si>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</si>
  <si>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</si>
  <si>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</si>
  <si>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</si>
  <si>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</si>
  <si>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</si>
  <si>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</si>
  <si>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</si>
  <si>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 xml:space="preserve">C16 </t>
  </si>
  <si>
    <t xml:space="preserve">Estrella 10x440ml Can </t>
  </si>
  <si>
    <t>2 for £23</t>
  </si>
  <si>
    <t>2 for £20</t>
  </si>
  <si>
    <t xml:space="preserve">2 for £23 </t>
  </si>
  <si>
    <t xml:space="preserve">Estrella 10x440ml Can Locals </t>
  </si>
  <si>
    <t xml:space="preserve">Estrella 4x440ml Can </t>
  </si>
  <si>
    <t xml:space="preserve">Estrella 4x440ml Can Locals </t>
  </si>
  <si>
    <t>Estrella 4x440ml 0.0% Can</t>
  </si>
  <si>
    <t xml:space="preserve">Estrella 4x440ml 0.0% Can Locals </t>
  </si>
  <si>
    <t>Estrella 10x440ml Can 0.0%</t>
  </si>
  <si>
    <t xml:space="preserve">Damm Lemon 4x330ml Can </t>
  </si>
  <si>
    <t xml:space="preserve">Damm Lemon 4x330ml Can Locals </t>
  </si>
  <si>
    <t xml:space="preserve">Damm Lemon 10x440ml Can </t>
  </si>
  <si>
    <t xml:space="preserve">Kirin Ichiban 4x440ml Can </t>
  </si>
  <si>
    <t xml:space="preserve">Daura Damm NRB / Can </t>
  </si>
  <si>
    <t>Estrella 660ml NRB</t>
  </si>
  <si>
    <t>3 for £6.00</t>
  </si>
  <si>
    <t xml:space="preserve">3 for £6.50 </t>
  </si>
  <si>
    <t>Victoria Malaga 660ml NRB</t>
  </si>
  <si>
    <t xml:space="preserve">Rosa Blanca 4x440ml Can </t>
  </si>
  <si>
    <t>2 for £27</t>
  </si>
  <si>
    <t>2 for £10.50</t>
  </si>
  <si>
    <t>2 for £8.00</t>
  </si>
  <si>
    <t>2 for £7.00</t>
  </si>
  <si>
    <t>2 fo £7.00</t>
  </si>
  <si>
    <t>2 for £12</t>
  </si>
  <si>
    <t>3 for £6.50</t>
  </si>
  <si>
    <t>3 for £6.75</t>
  </si>
  <si>
    <t xml:space="preserve">Daura Damm Single 330ml Can </t>
  </si>
  <si>
    <t>Damm Lemon 10x440ml Can WIGIG</t>
  </si>
  <si>
    <t xml:space="preserve">£11.00 WIGIG </t>
  </si>
  <si>
    <t>2 FOR £20.00 WIGIG</t>
  </si>
  <si>
    <t xml:space="preserve"> </t>
  </si>
  <si>
    <t>Estrella 10x330ml Can  WIGIG</t>
  </si>
  <si>
    <t xml:space="preserve">£10.00 WIGIG </t>
  </si>
  <si>
    <t>Start/end</t>
  </si>
  <si>
    <t>Period</t>
  </si>
  <si>
    <t>P14</t>
  </si>
  <si>
    <t>Key events</t>
  </si>
  <si>
    <t>Bank Hol</t>
  </si>
  <si>
    <t>World Cup</t>
  </si>
  <si>
    <t>Aug Bank Hol</t>
  </si>
  <si>
    <t>Damm activations</t>
  </si>
  <si>
    <t>150yr Anniversary 12x330ml</t>
  </si>
  <si>
    <t>Damm Lemon Garden refresh - Green Egg - DL 4x330ml</t>
  </si>
  <si>
    <t>Estrella Barcelona Competition - Estrella</t>
  </si>
  <si>
    <t>LY laps</t>
  </si>
  <si>
    <t xml:space="preserve">Free Damm </t>
  </si>
  <si>
    <t xml:space="preserve">Rosa Blanca </t>
  </si>
  <si>
    <t>FCB activation</t>
  </si>
  <si>
    <t>Damm lemon launch</t>
  </si>
  <si>
    <t>Estrella 10x330ml Shippers</t>
  </si>
  <si>
    <t>Estrella 4x440ml and 0% 4x440ml shippers</t>
  </si>
  <si>
    <t>Kirin Beer fest (launch)</t>
  </si>
  <si>
    <t>12x330ml Half Pallet FOS</t>
  </si>
  <si>
    <t>Victoria Malaga 660ml</t>
  </si>
  <si>
    <t>MTB 4f£7.50
2 for £10.50</t>
  </si>
  <si>
    <t>Kirin Ichiban 4x440ml</t>
  </si>
  <si>
    <t>Estrella 660ml</t>
  </si>
  <si>
    <t>Estrella 4x440ml</t>
  </si>
  <si>
    <t>Estrella 10x330ml</t>
  </si>
  <si>
    <t>£10 (proposed upweight £9.50)</t>
  </si>
  <si>
    <t>Estrella 12x330ml</t>
  </si>
  <si>
    <t>13 (2 for £20)_unfunded</t>
  </si>
  <si>
    <t>Damm Lemon 4x330ml</t>
  </si>
  <si>
    <t>£3.75(Shippers)</t>
  </si>
  <si>
    <t>£3.75 (Marie Curie support)</t>
  </si>
  <si>
    <t>Damm Lemon 10x440ml</t>
  </si>
  <si>
    <t>£10.00 (Marie Curie support)</t>
  </si>
  <si>
    <t>Estrella 0% 4x440ml</t>
  </si>
  <si>
    <t>£4.00 (Shippers?)</t>
  </si>
  <si>
    <t>Estrella 0% 10x440ml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</si>
  <si>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</si>
  <si>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</si>
  <si>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</si>
  <si>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</si>
  <si>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</si>
  <si>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</si>
  <si>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</si>
  <si>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</si>
  <si>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</si>
  <si>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</si>
  <si>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</si>
  <si>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</si>
  <si>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</si>
  <si>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</si>
  <si>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SKU</t>
  </si>
  <si>
    <t>01/01-20/01</t>
  </si>
  <si>
    <t>21/01-10/02</t>
  </si>
  <si>
    <t>11/02-17/03</t>
  </si>
  <si>
    <t>11/03-07/04</t>
  </si>
  <si>
    <t>08/04-05/05</t>
  </si>
  <si>
    <t>06/05-02/06</t>
  </si>
  <si>
    <t>03/06-30/06</t>
  </si>
  <si>
    <t>01/07-28/07</t>
  </si>
  <si>
    <t>29/07-25/08</t>
  </si>
  <si>
    <t>26/08-22/09</t>
  </si>
  <si>
    <t>23/09-20/10</t>
  </si>
  <si>
    <t>21/10-18/11</t>
  </si>
  <si>
    <t>19/11-16/12</t>
  </si>
  <si>
    <t>17/12-06/01</t>
  </si>
  <si>
    <t>Dry Jan</t>
  </si>
  <si>
    <t>Daura 4x330ml (Can)</t>
  </si>
  <si>
    <t>SKU replacement</t>
  </si>
  <si>
    <t xml:space="preserve">LAUNCH </t>
  </si>
  <si>
    <t>MTB</t>
  </si>
  <si>
    <t>Estrella 10x440ml (CAN)</t>
  </si>
  <si>
    <t>WIGIG £13</t>
  </si>
  <si>
    <t>RB £12/2 for £20</t>
  </si>
  <si>
    <t>RB £13/2 for £20</t>
  </si>
  <si>
    <t>LAUNCH?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</si>
</sst>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£&quot;#,##0;[Red]\-&quot;£&quot;#,##0"/>
    <numFmt numFmtId="165" formatCode="&quot;£&quot;#,##0.00;[Red]\-&quot;£&quot;#,##0.00"/>
    <numFmt numFmtId="166" formatCode="_-&quot;£&quot;* #,##0.00_-;\-&quot;£&quot;* #,##0.00_-;_-&quot;£&quot;* &quot;-&quot;??_-;_-@_-"/>
    <numFmt numFmtId="167" formatCode="&quot;£&quot;#,##0.00"/>
    <numFmt numFmtId="168" formatCode="dd/mm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Arial"/>
      <family val="2"/>
    </font>
    <font>
      <sz val="8"/>
      <color theme="0"/>
      <name val="Calibri"/>
      <family val="2"/>
      <scheme val="minor"/>
    </font>
    <font>
      <sz val="9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name val="Aptos"/>
      <family val="2"/>
    </font>
    <font>
      <sz val="10"/>
      <name val="Aptos"/>
      <family val="2"/>
    </font>
    <font>
      <sz val="8"/>
      <name val="Calibri"/>
      <family val="2"/>
      <scheme val="minor"/>
    </font>
    <font>
      <b/>
      <sz val="9"/>
      <color theme="0"/>
      <name val="Aptos"/>
      <family val="2"/>
    </font>
    <font>
      <sz val="8"/>
      <color theme="0"/>
      <name val="Aptos"/>
      <family val="2"/>
    </font>
    <font>
      <sz val="8"/>
      <name val="Aptos"/>
      <family val="2"/>
    </font>
    <font>
      <sz val="8"/>
      <color theme="1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8"/>
      <color theme="1"/>
      <name val="Calibri"/>
      <family val="2"/>
      <scheme val="minor"/>
    </font>
    <font>
      <sz val="10"/>
      <name val="Calibri"/>
      <family val="2"/>
    </font>
    <font>
      <i/>
      <sz val="9"/>
      <color theme="1"/>
      <name val="Calibri"/>
      <family val="2"/>
      <scheme val="minor"/>
    </font>
    <font>
      <i/>
      <sz val="9"/>
      <color theme="1"/>
      <name val="Calibri"/>
      <family val="2"/>
    </font>
    <font>
      <b/>
      <sz val="11"/>
      <color rgb="FF000000"/>
      <name val="Calibri"/>
      <family val="2"/>
    </font>
    <font>
      <sz val="28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65">
    <xf numFmtId="0" fontId="0" fillId="0" borderId="0" xfId="0"/>
    <xf numFmtId="0" fontId="4" fillId="3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/>
    </xf>
    <xf numFmtId="167" fontId="5" fillId="5" borderId="1" xfId="2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vertical="center"/>
    </xf>
    <xf numFmtId="3" fontId="5" fillId="4" borderId="0" xfId="0" applyNumberFormat="1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3" fillId="7" borderId="1" xfId="4" applyFont="1" applyFill="1" applyBorder="1"/>
    <xf numFmtId="167" fontId="5" fillId="6" borderId="1" xfId="0" applyNumberFormat="1" applyFont="1" applyFill="1" applyBorder="1" applyAlignment="1">
      <alignment horizontal="center" vertical="center"/>
    </xf>
    <xf numFmtId="167" fontId="5" fillId="6" borderId="1" xfId="1" applyNumberFormat="1" applyFont="1" applyFill="1" applyBorder="1" applyAlignment="1">
      <alignment horizontal="center" vertical="center"/>
    </xf>
    <xf numFmtId="167" fontId="5" fillId="6" borderId="1" xfId="2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5" fillId="5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/>
    </xf>
    <xf numFmtId="167" fontId="5" fillId="0" borderId="1" xfId="0" applyNumberFormat="1" applyFont="1" applyBorder="1"/>
    <xf numFmtId="0" fontId="3" fillId="8" borderId="1" xfId="4" applyFont="1" applyFill="1" applyBorder="1"/>
    <xf numFmtId="167" fontId="6" fillId="6" borderId="1" xfId="0" applyNumberFormat="1" applyFont="1" applyFill="1" applyBorder="1" applyAlignment="1">
      <alignment horizontal="center" vertical="center"/>
    </xf>
    <xf numFmtId="167" fontId="5" fillId="6" borderId="1" xfId="3" applyNumberFormat="1" applyFont="1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vertical="center"/>
    </xf>
    <xf numFmtId="0" fontId="5" fillId="9" borderId="1" xfId="0" applyFont="1" applyFill="1" applyBorder="1"/>
    <xf numFmtId="168" fontId="7" fillId="10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14" fontId="11" fillId="10" borderId="5" xfId="0" applyNumberFormat="1" applyFont="1" applyFill="1" applyBorder="1" applyAlignment="1">
      <alignment horizontal="center" vertical="center" wrapText="1"/>
    </xf>
    <xf numFmtId="14" fontId="11" fillId="10" borderId="6" xfId="0" applyNumberFormat="1" applyFont="1" applyFill="1" applyBorder="1" applyAlignment="1">
      <alignment horizontal="center" vertical="center" wrapText="1"/>
    </xf>
    <xf numFmtId="1" fontId="12" fillId="16" borderId="1" xfId="0" applyNumberFormat="1" applyFont="1" applyFill="1" applyBorder="1" applyAlignment="1">
      <alignment horizontal="center"/>
    </xf>
    <xf numFmtId="167" fontId="5" fillId="0" borderId="1" xfId="2" applyNumberFormat="1" applyFont="1" applyFill="1" applyBorder="1" applyAlignment="1">
      <alignment horizontal="center" vertical="center"/>
    </xf>
    <xf numFmtId="167" fontId="5" fillId="0" borderId="1" xfId="3" applyNumberFormat="1" applyFont="1" applyFill="1" applyBorder="1" applyAlignment="1">
      <alignment horizontal="center" vertical="center"/>
    </xf>
    <xf numFmtId="167" fontId="5" fillId="17" borderId="1" xfId="2" applyNumberFormat="1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/>
    </xf>
    <xf numFmtId="0" fontId="13" fillId="19" borderId="0" xfId="0" applyFont="1" applyFill="1" applyAlignment="1">
      <alignment horizontal="center"/>
    </xf>
    <xf numFmtId="0" fontId="14" fillId="0" borderId="0" xfId="0" applyFont="1"/>
    <xf numFmtId="14" fontId="19" fillId="20" borderId="5" xfId="0" applyNumberFormat="1" applyFont="1" applyFill="1" applyBorder="1" applyAlignment="1">
      <alignment horizontal="center" vertical="center" wrapText="1"/>
    </xf>
    <xf numFmtId="1" fontId="15" fillId="3" borderId="1" xfId="0" applyNumberFormat="1" applyFont="1" applyFill="1" applyBorder="1" applyAlignment="1">
      <alignment horizontal="center"/>
    </xf>
    <xf numFmtId="167" fontId="20" fillId="4" borderId="1" xfId="2" applyNumberFormat="1" applyFont="1" applyFill="1" applyBorder="1" applyAlignment="1">
      <alignment horizontal="center" vertical="top"/>
    </xf>
    <xf numFmtId="167" fontId="20" fillId="4" borderId="1" xfId="0" applyNumberFormat="1" applyFont="1" applyFill="1" applyBorder="1" applyAlignment="1">
      <alignment horizontal="center" vertical="top"/>
    </xf>
    <xf numFmtId="167" fontId="20" fillId="4" borderId="1" xfId="3" applyNumberFormat="1" applyFont="1" applyFill="1" applyBorder="1" applyAlignment="1">
      <alignment horizontal="center" vertical="top"/>
    </xf>
    <xf numFmtId="0" fontId="21" fillId="0" borderId="1" xfId="0" applyFont="1" applyBorder="1" applyAlignment="1">
      <alignment horizontal="center" vertical="top"/>
    </xf>
    <xf numFmtId="165" fontId="21" fillId="0" borderId="1" xfId="0" applyNumberFormat="1" applyFont="1" applyBorder="1" applyAlignment="1">
      <alignment horizontal="center" vertical="top"/>
    </xf>
    <xf numFmtId="0" fontId="19" fillId="8" borderId="0" xfId="0" applyFont="1" applyFill="1" applyAlignment="1">
      <alignment horizontal="center" wrapText="1"/>
    </xf>
    <xf numFmtId="167" fontId="20" fillId="21" borderId="1" xfId="3" applyNumberFormat="1" applyFont="1" applyFill="1" applyBorder="1" applyAlignment="1">
      <alignment horizontal="center" vertical="top"/>
    </xf>
    <xf numFmtId="167" fontId="20" fillId="21" borderId="1" xfId="2" applyNumberFormat="1" applyFont="1" applyFill="1" applyBorder="1" applyAlignment="1">
      <alignment horizontal="center" vertical="top"/>
    </xf>
    <xf numFmtId="167" fontId="20" fillId="21" borderId="1" xfId="0" applyNumberFormat="1" applyFont="1" applyFill="1" applyBorder="1" applyAlignment="1">
      <alignment horizontal="center" vertical="top"/>
    </xf>
    <xf numFmtId="0" fontId="21" fillId="21" borderId="1" xfId="0" applyFont="1" applyFill="1" applyBorder="1" applyAlignment="1">
      <alignment horizontal="center" vertical="top"/>
    </xf>
    <xf numFmtId="167" fontId="21" fillId="0" borderId="1" xfId="0" applyNumberFormat="1" applyFont="1" applyBorder="1" applyAlignment="1">
      <alignment horizontal="center" vertical="top"/>
    </xf>
    <xf numFmtId="14" fontId="19" fillId="20" borderId="11" xfId="0" applyNumberFormat="1" applyFont="1" applyFill="1" applyBorder="1" applyAlignment="1">
      <alignment horizontal="center" vertical="center" wrapText="1"/>
    </xf>
    <xf numFmtId="1" fontId="15" fillId="3" borderId="2" xfId="0" applyNumberFormat="1" applyFont="1" applyFill="1" applyBorder="1" applyAlignment="1">
      <alignment horizontal="center"/>
    </xf>
    <xf numFmtId="0" fontId="21" fillId="21" borderId="2" xfId="0" applyFont="1" applyFill="1" applyBorder="1" applyAlignment="1">
      <alignment horizontal="center" vertical="top"/>
    </xf>
    <xf numFmtId="0" fontId="0" fillId="0" borderId="1" xfId="0" applyBorder="1"/>
    <xf numFmtId="0" fontId="0" fillId="0" borderId="3" xfId="0" applyBorder="1"/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9" xfId="0" applyBorder="1"/>
    <xf numFmtId="0" fontId="0" fillId="0" borderId="10" xfId="0" applyBorder="1"/>
    <xf numFmtId="14" fontId="19" fillId="20" borderId="1" xfId="0" applyNumberFormat="1" applyFont="1" applyFill="1" applyBorder="1" applyAlignment="1">
      <alignment horizontal="center" vertical="center" wrapText="1"/>
    </xf>
    <xf numFmtId="14" fontId="19" fillId="20" borderId="14" xfId="0" applyNumberFormat="1" applyFont="1" applyFill="1" applyBorder="1" applyAlignment="1">
      <alignment horizontal="center" vertical="center" wrapText="1"/>
    </xf>
    <xf numFmtId="14" fontId="19" fillId="20" borderId="15" xfId="0" applyNumberFormat="1" applyFont="1" applyFill="1" applyBorder="1" applyAlignment="1">
      <alignment horizontal="center" vertical="center" wrapText="1"/>
    </xf>
    <xf numFmtId="1" fontId="15" fillId="3" borderId="16" xfId="0" applyNumberFormat="1" applyFont="1" applyFill="1" applyBorder="1" applyAlignment="1">
      <alignment horizontal="center"/>
    </xf>
    <xf numFmtId="1" fontId="15" fillId="3" borderId="17" xfId="0" applyNumberFormat="1" applyFont="1" applyFill="1" applyBorder="1" applyAlignment="1">
      <alignment horizontal="center"/>
    </xf>
    <xf numFmtId="167" fontId="20" fillId="4" borderId="16" xfId="0" applyNumberFormat="1" applyFont="1" applyFill="1" applyBorder="1" applyAlignment="1">
      <alignment horizontal="center" vertical="top"/>
    </xf>
    <xf numFmtId="167" fontId="20" fillId="4" borderId="17" xfId="0" applyNumberFormat="1" applyFont="1" applyFill="1" applyBorder="1" applyAlignment="1">
      <alignment horizontal="center" vertical="top"/>
    </xf>
    <xf numFmtId="167" fontId="20" fillId="4" borderId="16" xfId="2" applyNumberFormat="1" applyFont="1" applyFill="1" applyBorder="1" applyAlignment="1">
      <alignment horizontal="center" vertical="top"/>
    </xf>
    <xf numFmtId="167" fontId="20" fillId="4" borderId="17" xfId="2" applyNumberFormat="1" applyFont="1" applyFill="1" applyBorder="1" applyAlignment="1">
      <alignment horizontal="center" vertical="top"/>
    </xf>
    <xf numFmtId="167" fontId="20" fillId="4" borderId="16" xfId="3" applyNumberFormat="1" applyFont="1" applyFill="1" applyBorder="1" applyAlignment="1">
      <alignment horizontal="center" vertical="top"/>
    </xf>
    <xf numFmtId="167" fontId="20" fillId="4" borderId="17" xfId="3" applyNumberFormat="1" applyFont="1" applyFill="1" applyBorder="1" applyAlignment="1">
      <alignment horizontal="center" vertical="top"/>
    </xf>
    <xf numFmtId="165" fontId="21" fillId="0" borderId="16" xfId="0" applyNumberFormat="1" applyFont="1" applyBorder="1" applyAlignment="1">
      <alignment horizontal="center" vertical="top"/>
    </xf>
    <xf numFmtId="165" fontId="21" fillId="0" borderId="17" xfId="0" applyNumberFormat="1" applyFont="1" applyBorder="1" applyAlignment="1">
      <alignment horizontal="center" vertical="top"/>
    </xf>
    <xf numFmtId="0" fontId="21" fillId="0" borderId="16" xfId="0" applyFont="1" applyBorder="1" applyAlignment="1">
      <alignment horizontal="center" vertical="top"/>
    </xf>
    <xf numFmtId="0" fontId="21" fillId="0" borderId="17" xfId="0" applyFont="1" applyBorder="1" applyAlignment="1">
      <alignment horizontal="center" vertical="top"/>
    </xf>
    <xf numFmtId="0" fontId="21" fillId="21" borderId="18" xfId="0" applyFont="1" applyFill="1" applyBorder="1" applyAlignment="1">
      <alignment horizontal="center" vertical="top"/>
    </xf>
    <xf numFmtId="0" fontId="21" fillId="21" borderId="19" xfId="0" applyFont="1" applyFill="1" applyBorder="1" applyAlignment="1">
      <alignment horizontal="center" vertical="top"/>
    </xf>
    <xf numFmtId="14" fontId="19" fillId="20" borderId="17" xfId="0" applyNumberFormat="1" applyFont="1" applyFill="1" applyBorder="1" applyAlignment="1">
      <alignment horizontal="center" vertical="center" wrapText="1"/>
    </xf>
    <xf numFmtId="1" fontId="15" fillId="3" borderId="22" xfId="0" applyNumberFormat="1" applyFont="1" applyFill="1" applyBorder="1" applyAlignment="1">
      <alignment horizontal="center"/>
    </xf>
    <xf numFmtId="167" fontId="20" fillId="4" borderId="22" xfId="0" applyNumberFormat="1" applyFont="1" applyFill="1" applyBorder="1" applyAlignment="1">
      <alignment horizontal="center" vertical="top"/>
    </xf>
    <xf numFmtId="167" fontId="20" fillId="4" borderId="22" xfId="2" applyNumberFormat="1" applyFont="1" applyFill="1" applyBorder="1" applyAlignment="1">
      <alignment horizontal="center" vertical="top"/>
    </xf>
    <xf numFmtId="0" fontId="21" fillId="0" borderId="22" xfId="0" applyFont="1" applyBorder="1" applyAlignment="1">
      <alignment horizontal="center" vertical="top"/>
    </xf>
    <xf numFmtId="167" fontId="21" fillId="0" borderId="22" xfId="0" applyNumberFormat="1" applyFont="1" applyBorder="1" applyAlignment="1">
      <alignment horizontal="center" vertical="top"/>
    </xf>
    <xf numFmtId="167" fontId="21" fillId="0" borderId="17" xfId="0" applyNumberFormat="1" applyFont="1" applyBorder="1" applyAlignment="1">
      <alignment horizontal="center" vertical="top"/>
    </xf>
    <xf numFmtId="0" fontId="21" fillId="21" borderId="23" xfId="0" applyFont="1" applyFill="1" applyBorder="1" applyAlignment="1">
      <alignment horizontal="center" vertical="top"/>
    </xf>
    <xf numFmtId="0" fontId="21" fillId="21" borderId="24" xfId="0" applyFont="1" applyFill="1" applyBorder="1" applyAlignment="1">
      <alignment horizontal="center" vertical="top"/>
    </xf>
    <xf numFmtId="14" fontId="19" fillId="20" borderId="26" xfId="0" applyNumberFormat="1" applyFont="1" applyFill="1" applyBorder="1" applyAlignment="1">
      <alignment horizontal="center" vertical="center" wrapText="1"/>
    </xf>
    <xf numFmtId="167" fontId="21" fillId="0" borderId="16" xfId="0" applyNumberFormat="1" applyFont="1" applyBorder="1" applyAlignment="1">
      <alignment horizontal="center" vertical="top"/>
    </xf>
    <xf numFmtId="167" fontId="20" fillId="21" borderId="16" xfId="2" applyNumberFormat="1" applyFont="1" applyFill="1" applyBorder="1" applyAlignment="1">
      <alignment horizontal="center" vertical="top"/>
    </xf>
    <xf numFmtId="167" fontId="20" fillId="21" borderId="17" xfId="2" applyNumberFormat="1" applyFont="1" applyFill="1" applyBorder="1" applyAlignment="1">
      <alignment horizontal="center" vertical="top"/>
    </xf>
    <xf numFmtId="167" fontId="20" fillId="21" borderId="16" xfId="0" applyNumberFormat="1" applyFont="1" applyFill="1" applyBorder="1" applyAlignment="1">
      <alignment horizontal="center" vertical="top"/>
    </xf>
    <xf numFmtId="167" fontId="20" fillId="21" borderId="17" xfId="0" applyNumberFormat="1" applyFont="1" applyFill="1" applyBorder="1" applyAlignment="1">
      <alignment horizontal="center" vertical="top"/>
    </xf>
    <xf numFmtId="0" fontId="21" fillId="21" borderId="16" xfId="0" applyFont="1" applyFill="1" applyBorder="1" applyAlignment="1">
      <alignment horizontal="center" vertical="top"/>
    </xf>
    <xf numFmtId="0" fontId="21" fillId="21" borderId="17" xfId="0" applyFont="1" applyFill="1" applyBorder="1" applyAlignment="1">
      <alignment horizontal="center" vertical="top"/>
    </xf>
    <xf numFmtId="167" fontId="20" fillId="4" borderId="18" xfId="0" applyNumberFormat="1" applyFont="1" applyFill="1" applyBorder="1" applyAlignment="1">
      <alignment horizontal="center" vertical="top"/>
    </xf>
    <xf numFmtId="167" fontId="20" fillId="4" borderId="24" xfId="0" applyNumberFormat="1" applyFont="1" applyFill="1" applyBorder="1" applyAlignment="1">
      <alignment horizontal="center" vertical="top"/>
    </xf>
    <xf numFmtId="167" fontId="20" fillId="4" borderId="19" xfId="0" applyNumberFormat="1" applyFont="1" applyFill="1" applyBorder="1" applyAlignment="1">
      <alignment horizontal="center" vertical="top"/>
    </xf>
    <xf numFmtId="0" fontId="21" fillId="0" borderId="18" xfId="0" applyFont="1" applyBorder="1" applyAlignment="1">
      <alignment horizontal="center" vertical="top"/>
    </xf>
    <xf numFmtId="0" fontId="21" fillId="0" borderId="24" xfId="0" applyFont="1" applyBorder="1" applyAlignment="1">
      <alignment horizontal="center" vertical="top"/>
    </xf>
    <xf numFmtId="0" fontId="21" fillId="0" borderId="19" xfId="0" applyFont="1" applyBorder="1" applyAlignment="1">
      <alignment horizontal="center" vertical="top"/>
    </xf>
    <xf numFmtId="167" fontId="20" fillId="4" borderId="16" xfId="1" applyNumberFormat="1" applyFont="1" applyFill="1" applyBorder="1" applyAlignment="1">
      <alignment horizontal="center" vertical="top"/>
    </xf>
    <xf numFmtId="167" fontId="20" fillId="21" borderId="16" xfId="3" applyNumberFormat="1" applyFont="1" applyFill="1" applyBorder="1" applyAlignment="1">
      <alignment horizontal="center" vertical="top"/>
    </xf>
    <xf numFmtId="167" fontId="20" fillId="21" borderId="17" xfId="3" applyNumberFormat="1" applyFont="1" applyFill="1" applyBorder="1" applyAlignment="1">
      <alignment horizontal="center" vertical="top"/>
    </xf>
    <xf numFmtId="165" fontId="21" fillId="0" borderId="18" xfId="0" applyNumberFormat="1" applyFont="1" applyBorder="1" applyAlignment="1">
      <alignment horizontal="center" vertical="top"/>
    </xf>
    <xf numFmtId="165" fontId="21" fillId="0" borderId="24" xfId="0" applyNumberFormat="1" applyFont="1" applyBorder="1" applyAlignment="1">
      <alignment horizontal="center" vertical="top"/>
    </xf>
    <xf numFmtId="165" fontId="21" fillId="0" borderId="19" xfId="0" applyNumberFormat="1" applyFont="1" applyBorder="1" applyAlignment="1">
      <alignment horizontal="center" vertical="top"/>
    </xf>
    <xf numFmtId="167" fontId="20" fillId="4" borderId="24" xfId="2" applyNumberFormat="1" applyFont="1" applyFill="1" applyBorder="1" applyAlignment="1">
      <alignment horizontal="center" vertical="top"/>
    </xf>
    <xf numFmtId="167" fontId="20" fillId="4" borderId="19" xfId="2" applyNumberFormat="1" applyFont="1" applyFill="1" applyBorder="1" applyAlignment="1">
      <alignment horizontal="center" vertical="top"/>
    </xf>
    <xf numFmtId="0" fontId="16" fillId="4" borderId="2" xfId="4" applyFont="1" applyFill="1" applyBorder="1" applyAlignment="1">
      <alignment horizontal="left"/>
    </xf>
    <xf numFmtId="0" fontId="16" fillId="4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/>
    </xf>
    <xf numFmtId="167" fontId="21" fillId="21" borderId="17" xfId="0" applyNumberFormat="1" applyFont="1" applyFill="1" applyBorder="1" applyAlignment="1">
      <alignment horizontal="center" vertical="top"/>
    </xf>
    <xf numFmtId="14" fontId="19" fillId="20" borderId="27" xfId="0" applyNumberFormat="1" applyFont="1" applyFill="1" applyBorder="1" applyAlignment="1">
      <alignment horizontal="center" vertical="center" wrapText="1"/>
    </xf>
    <xf numFmtId="1" fontId="15" fillId="3" borderId="9" xfId="0" applyNumberFormat="1" applyFont="1" applyFill="1" applyBorder="1" applyAlignment="1">
      <alignment horizontal="center"/>
    </xf>
    <xf numFmtId="0" fontId="16" fillId="4" borderId="7" xfId="4" applyFont="1" applyFill="1" applyBorder="1" applyAlignment="1">
      <alignment horizontal="left"/>
    </xf>
    <xf numFmtId="14" fontId="20" fillId="23" borderId="1" xfId="0" applyNumberFormat="1" applyFont="1" applyFill="1" applyBorder="1" applyAlignment="1">
      <alignment horizontal="center" vertical="center" wrapText="1"/>
    </xf>
    <xf numFmtId="14" fontId="20" fillId="23" borderId="17" xfId="0" applyNumberFormat="1" applyFont="1" applyFill="1" applyBorder="1" applyAlignment="1">
      <alignment horizontal="center" vertical="center" wrapText="1"/>
    </xf>
    <xf numFmtId="167" fontId="20" fillId="0" borderId="16" xfId="2" applyNumberFormat="1" applyFont="1" applyFill="1" applyBorder="1" applyAlignment="1">
      <alignment horizontal="center" vertical="top"/>
    </xf>
    <xf numFmtId="167" fontId="20" fillId="0" borderId="1" xfId="2" applyNumberFormat="1" applyFont="1" applyFill="1" applyBorder="1" applyAlignment="1">
      <alignment horizontal="center" vertical="top"/>
    </xf>
    <xf numFmtId="167" fontId="20" fillId="0" borderId="17" xfId="2" applyNumberFormat="1" applyFont="1" applyFill="1" applyBorder="1" applyAlignment="1">
      <alignment horizontal="center" vertical="top"/>
    </xf>
    <xf numFmtId="167" fontId="20" fillId="0" borderId="1" xfId="0" applyNumberFormat="1" applyFont="1" applyBorder="1" applyAlignment="1">
      <alignment horizontal="center" vertical="top"/>
    </xf>
    <xf numFmtId="167" fontId="20" fillId="0" borderId="17" xfId="0" applyNumberFormat="1" applyFont="1" applyBorder="1" applyAlignment="1">
      <alignment horizontal="center" vertical="top"/>
    </xf>
    <xf numFmtId="167" fontId="20" fillId="0" borderId="16" xfId="0" applyNumberFormat="1" applyFont="1" applyBorder="1" applyAlignment="1">
      <alignment horizontal="center" vertical="top"/>
    </xf>
    <xf numFmtId="167" fontId="20" fillId="0" borderId="16" xfId="3" applyNumberFormat="1" applyFont="1" applyFill="1" applyBorder="1" applyAlignment="1">
      <alignment horizontal="center" vertical="top"/>
    </xf>
    <xf numFmtId="167" fontId="20" fillId="0" borderId="17" xfId="3" applyNumberFormat="1" applyFont="1" applyFill="1" applyBorder="1" applyAlignment="1">
      <alignment horizontal="center" vertical="top"/>
    </xf>
    <xf numFmtId="167" fontId="20" fillId="0" borderId="1" xfId="3" applyNumberFormat="1" applyFont="1" applyFill="1" applyBorder="1" applyAlignment="1">
      <alignment horizontal="center" vertical="top"/>
    </xf>
    <xf numFmtId="0" fontId="21" fillId="21" borderId="9" xfId="0" applyFont="1" applyFill="1" applyBorder="1" applyAlignment="1">
      <alignment horizontal="center" vertical="top"/>
    </xf>
    <xf numFmtId="0" fontId="16" fillId="4" borderId="32" xfId="4" applyFont="1" applyFill="1" applyBorder="1" applyAlignment="1">
      <alignment horizontal="left"/>
    </xf>
    <xf numFmtId="0" fontId="16" fillId="4" borderId="22" xfId="4" applyFont="1" applyFill="1" applyBorder="1" applyAlignment="1">
      <alignment horizontal="left"/>
    </xf>
    <xf numFmtId="0" fontId="16" fillId="4" borderId="22" xfId="0" applyFont="1" applyFill="1" applyBorder="1" applyAlignment="1">
      <alignment horizontal="left" vertical="center"/>
    </xf>
    <xf numFmtId="0" fontId="16" fillId="4" borderId="22" xfId="0" applyFont="1" applyFill="1" applyBorder="1" applyAlignment="1">
      <alignment horizontal="left"/>
    </xf>
    <xf numFmtId="0" fontId="16" fillId="4" borderId="23" xfId="0" applyFont="1" applyFill="1" applyBorder="1" applyAlignment="1">
      <alignment horizontal="left"/>
    </xf>
    <xf numFmtId="14" fontId="20" fillId="23" borderId="9" xfId="0" applyNumberFormat="1" applyFont="1" applyFill="1" applyBorder="1" applyAlignment="1">
      <alignment horizontal="center" vertical="center" wrapText="1"/>
    </xf>
    <xf numFmtId="167" fontId="20" fillId="0" borderId="9" xfId="2" applyNumberFormat="1" applyFont="1" applyFill="1" applyBorder="1" applyAlignment="1">
      <alignment horizontal="center" vertical="top"/>
    </xf>
    <xf numFmtId="167" fontId="20" fillId="0" borderId="9" xfId="0" applyNumberFormat="1" applyFont="1" applyBorder="1" applyAlignment="1">
      <alignment horizontal="center" vertical="top"/>
    </xf>
    <xf numFmtId="0" fontId="21" fillId="0" borderId="9" xfId="0" applyFont="1" applyBorder="1" applyAlignment="1">
      <alignment horizontal="center" vertical="top"/>
    </xf>
    <xf numFmtId="14" fontId="20" fillId="23" borderId="16" xfId="0" applyNumberFormat="1" applyFont="1" applyFill="1" applyBorder="1" applyAlignment="1">
      <alignment horizontal="center" vertical="center" wrapText="1"/>
    </xf>
    <xf numFmtId="165" fontId="21" fillId="0" borderId="9" xfId="0" applyNumberFormat="1" applyFont="1" applyBorder="1" applyAlignment="1">
      <alignment horizontal="center" vertical="top"/>
    </xf>
    <xf numFmtId="167" fontId="21" fillId="0" borderId="9" xfId="0" applyNumberFormat="1" applyFont="1" applyBorder="1" applyAlignment="1">
      <alignment horizontal="center" vertical="top"/>
    </xf>
    <xf numFmtId="0" fontId="0" fillId="21" borderId="16" xfId="0" applyFill="1" applyBorder="1"/>
    <xf numFmtId="0" fontId="0" fillId="21" borderId="1" xfId="0" applyFill="1" applyBorder="1"/>
    <xf numFmtId="0" fontId="0" fillId="21" borderId="17" xfId="0" applyFill="1" applyBorder="1"/>
    <xf numFmtId="0" fontId="0" fillId="21" borderId="18" xfId="0" applyFill="1" applyBorder="1"/>
    <xf numFmtId="0" fontId="0" fillId="21" borderId="24" xfId="0" applyFill="1" applyBorder="1"/>
    <xf numFmtId="0" fontId="0" fillId="21" borderId="19" xfId="0" applyFill="1" applyBorder="1"/>
    <xf numFmtId="0" fontId="0" fillId="21" borderId="9" xfId="0" applyFill="1" applyBorder="1"/>
    <xf numFmtId="0" fontId="0" fillId="21" borderId="35" xfId="0" applyFill="1" applyBorder="1"/>
    <xf numFmtId="14" fontId="20" fillId="23" borderId="2" xfId="0" applyNumberFormat="1" applyFont="1" applyFill="1" applyBorder="1" applyAlignment="1">
      <alignment horizontal="center" vertical="center" wrapText="1"/>
    </xf>
    <xf numFmtId="167" fontId="20" fillId="0" borderId="2" xfId="2" applyNumberFormat="1" applyFont="1" applyFill="1" applyBorder="1" applyAlignment="1">
      <alignment horizontal="center" vertical="top"/>
    </xf>
    <xf numFmtId="167" fontId="20" fillId="0" borderId="2" xfId="0" applyNumberFormat="1" applyFont="1" applyBorder="1" applyAlignment="1">
      <alignment horizontal="center" vertical="top"/>
    </xf>
    <xf numFmtId="167" fontId="20" fillId="0" borderId="2" xfId="3" applyNumberFormat="1" applyFont="1" applyFill="1" applyBorder="1" applyAlignment="1">
      <alignment horizontal="center" vertical="top"/>
    </xf>
    <xf numFmtId="167" fontId="21" fillId="0" borderId="2" xfId="0" applyNumberFormat="1" applyFont="1" applyBorder="1" applyAlignment="1">
      <alignment horizontal="center" vertical="top"/>
    </xf>
    <xf numFmtId="165" fontId="21" fillId="0" borderId="2" xfId="0" applyNumberFormat="1" applyFont="1" applyBorder="1" applyAlignment="1">
      <alignment horizontal="center" vertical="top"/>
    </xf>
    <xf numFmtId="0" fontId="21" fillId="0" borderId="2" xfId="0" applyFont="1" applyBorder="1" applyAlignment="1">
      <alignment horizontal="center" vertical="top"/>
    </xf>
    <xf numFmtId="0" fontId="0" fillId="21" borderId="2" xfId="0" applyFill="1" applyBorder="1"/>
    <xf numFmtId="0" fontId="0" fillId="21" borderId="36" xfId="0" applyFill="1" applyBorder="1"/>
    <xf numFmtId="167" fontId="20" fillId="0" borderId="37" xfId="0" applyNumberFormat="1" applyFont="1" applyBorder="1" applyAlignment="1">
      <alignment horizontal="center" vertical="top"/>
    </xf>
    <xf numFmtId="0" fontId="19" fillId="8" borderId="0" xfId="0" applyFont="1" applyFill="1" applyAlignment="1">
      <alignment horizontal="center"/>
    </xf>
    <xf numFmtId="167" fontId="20" fillId="0" borderId="37" xfId="2" applyNumberFormat="1" applyFont="1" applyFill="1" applyBorder="1" applyAlignment="1">
      <alignment horizontal="center" vertical="top"/>
    </xf>
    <xf numFmtId="0" fontId="1" fillId="0" borderId="1" xfId="0" applyFont="1" applyBorder="1"/>
    <xf numFmtId="14" fontId="26" fillId="25" borderId="1" xfId="0" applyNumberFormat="1" applyFont="1" applyFill="1" applyBorder="1" applyAlignment="1">
      <alignment horizontal="center"/>
    </xf>
    <xf numFmtId="0" fontId="27" fillId="0" borderId="1" xfId="0" applyFont="1" applyBorder="1"/>
    <xf numFmtId="0" fontId="1" fillId="26" borderId="39" xfId="0" applyFont="1" applyFill="1" applyBorder="1" applyAlignment="1">
      <alignment horizontal="center"/>
    </xf>
    <xf numFmtId="0" fontId="0" fillId="26" borderId="40" xfId="0" applyFill="1" applyBorder="1" applyAlignment="1">
      <alignment horizontal="center"/>
    </xf>
    <xf numFmtId="0" fontId="1" fillId="26" borderId="40" xfId="0" applyFont="1" applyFill="1" applyBorder="1" applyAlignment="1">
      <alignment horizontal="center"/>
    </xf>
    <xf numFmtId="0" fontId="28" fillId="3" borderId="26" xfId="0" applyFont="1" applyFill="1" applyBorder="1" applyAlignment="1">
      <alignment horizontal="center"/>
    </xf>
    <xf numFmtId="0" fontId="0" fillId="26" borderId="10" xfId="0" applyFill="1" applyBorder="1" applyAlignment="1">
      <alignment horizontal="center"/>
    </xf>
    <xf numFmtId="0" fontId="1" fillId="26" borderId="3" xfId="0" applyFont="1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1" fillId="0" borderId="2" xfId="0" applyFont="1" applyBorder="1"/>
    <xf numFmtId="0" fontId="1" fillId="26" borderId="12" xfId="0" applyFont="1" applyFill="1" applyBorder="1" applyAlignment="1">
      <alignment horizontal="center"/>
    </xf>
    <xf numFmtId="0" fontId="0" fillId="26" borderId="25" xfId="0" applyFill="1" applyBorder="1" applyAlignment="1">
      <alignment horizontal="center"/>
    </xf>
    <xf numFmtId="0" fontId="1" fillId="26" borderId="25" xfId="0" applyFont="1" applyFill="1" applyBorder="1" applyAlignment="1">
      <alignment horizontal="center"/>
    </xf>
    <xf numFmtId="0" fontId="1" fillId="26" borderId="13" xfId="0" applyFont="1" applyFill="1" applyBorder="1" applyAlignment="1">
      <alignment horizontal="center"/>
    </xf>
    <xf numFmtId="0" fontId="29" fillId="0" borderId="1" xfId="0" applyFont="1" applyBorder="1"/>
    <xf numFmtId="0" fontId="29" fillId="26" borderId="25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/>
    </xf>
    <xf numFmtId="0" fontId="31" fillId="0" borderId="9" xfId="0" applyFont="1" applyBorder="1" applyAlignment="1">
      <alignment horizontal="center" vertical="center" wrapText="1"/>
    </xf>
    <xf numFmtId="0" fontId="0" fillId="0" borderId="4" xfId="0" applyBorder="1"/>
    <xf numFmtId="0" fontId="25" fillId="9" borderId="1" xfId="0" applyFont="1" applyFill="1" applyBorder="1"/>
    <xf numFmtId="0" fontId="31" fillId="0" borderId="1" xfId="0" applyFont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5" fillId="9" borderId="2" xfId="0" applyFont="1" applyFill="1" applyBorder="1" applyAlignment="1">
      <alignment horizontal="center"/>
    </xf>
    <xf numFmtId="0" fontId="25" fillId="9" borderId="9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165" fontId="0" fillId="5" borderId="2" xfId="0" applyNumberFormat="1" applyFill="1" applyBorder="1" applyAlignment="1">
      <alignment horizontal="center"/>
    </xf>
    <xf numFmtId="165" fontId="0" fillId="5" borderId="9" xfId="0" applyNumberFormat="1" applyFill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0" fontId="25" fillId="23" borderId="2" xfId="0" applyFont="1" applyFill="1" applyBorder="1" applyAlignment="1">
      <alignment horizontal="center"/>
    </xf>
    <xf numFmtId="0" fontId="25" fillId="23" borderId="9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65" fontId="0" fillId="5" borderId="39" xfId="0" applyNumberForma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67" fontId="0" fillId="5" borderId="2" xfId="0" applyNumberFormat="1" applyFill="1" applyBorder="1" applyAlignment="1">
      <alignment horizontal="center"/>
    </xf>
    <xf numFmtId="167" fontId="0" fillId="5" borderId="9" xfId="0" applyNumberFormat="1" applyFill="1" applyBorder="1" applyAlignment="1">
      <alignment horizontal="center"/>
    </xf>
    <xf numFmtId="165" fontId="0" fillId="23" borderId="2" xfId="0" applyNumberFormat="1" applyFill="1" applyBorder="1" applyAlignment="1">
      <alignment horizontal="center"/>
    </xf>
    <xf numFmtId="0" fontId="0" fillId="23" borderId="9" xfId="0" applyFill="1" applyBorder="1" applyAlignment="1">
      <alignment horizontal="center"/>
    </xf>
    <xf numFmtId="167" fontId="0" fillId="23" borderId="2" xfId="0" applyNumberFormat="1" applyFill="1" applyBorder="1" applyAlignment="1">
      <alignment horizontal="center"/>
    </xf>
    <xf numFmtId="167" fontId="0" fillId="23" borderId="9" xfId="0" applyNumberForma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14" fillId="23" borderId="2" xfId="0" applyFont="1" applyFill="1" applyBorder="1" applyAlignment="1">
      <alignment horizontal="center"/>
    </xf>
    <xf numFmtId="0" fontId="14" fillId="23" borderId="8" xfId="0" applyFont="1" applyFill="1" applyBorder="1" applyAlignment="1">
      <alignment horizontal="center"/>
    </xf>
    <xf numFmtId="0" fontId="14" fillId="23" borderId="9" xfId="0" applyFont="1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10" fillId="15" borderId="4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20" xfId="0" applyFont="1" applyFill="1" applyBorder="1" applyAlignment="1">
      <alignment horizontal="center" vertical="center"/>
    </xf>
    <xf numFmtId="0" fontId="18" fillId="9" borderId="21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8" fillId="22" borderId="32" xfId="0" applyFont="1" applyFill="1" applyBorder="1" applyAlignment="1">
      <alignment horizontal="center" vertical="center"/>
    </xf>
    <xf numFmtId="0" fontId="18" fillId="22" borderId="33" xfId="0" applyFont="1" applyFill="1" applyBorder="1" applyAlignment="1">
      <alignment horizontal="center" vertical="center"/>
    </xf>
    <xf numFmtId="0" fontId="18" fillId="22" borderId="34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21" fillId="24" borderId="36" xfId="0" applyFont="1" applyFill="1" applyBorder="1" applyAlignment="1">
      <alignment horizontal="center"/>
    </xf>
    <xf numFmtId="0" fontId="21" fillId="24" borderId="38" xfId="0" applyFont="1" applyFill="1" applyBorder="1" applyAlignment="1">
      <alignment horizontal="center"/>
    </xf>
    <xf numFmtId="0" fontId="21" fillId="24" borderId="35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21" fillId="3" borderId="8" xfId="0" applyFont="1" applyFill="1" applyBorder="1" applyAlignment="1">
      <alignment horizontal="center"/>
    </xf>
    <xf numFmtId="0" fontId="21" fillId="3" borderId="9" xfId="0" applyFon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28" borderId="1" xfId="0" applyNumberFormat="1" applyFill="1" applyBorder="1" applyAlignment="1">
      <alignment horizontal="center" vertical="center"/>
    </xf>
    <xf numFmtId="167" fontId="1" fillId="5" borderId="1" xfId="0" applyNumberFormat="1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1" fillId="28" borderId="1" xfId="0" applyNumberFormat="1" applyFont="1" applyFill="1" applyBorder="1" applyAlignment="1">
      <alignment horizontal="center" vertical="center"/>
    </xf>
    <xf numFmtId="165" fontId="0" fillId="28" borderId="2" xfId="0" applyNumberFormat="1" applyFill="1" applyBorder="1" applyAlignment="1">
      <alignment horizontal="center" vertical="center"/>
    </xf>
    <xf numFmtId="165" fontId="0" fillId="28" borderId="9" xfId="0" applyNumberForma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 wrapText="1"/>
    </xf>
    <xf numFmtId="165" fontId="14" fillId="28" borderId="1" xfId="0" applyNumberFormat="1" applyFont="1" applyFill="1" applyBorder="1" applyAlignment="1">
      <alignment horizontal="center" vertical="center"/>
    </xf>
    <xf numFmtId="0" fontId="29" fillId="27" borderId="12" xfId="0" applyFont="1" applyFill="1" applyBorder="1" applyAlignment="1">
      <alignment horizontal="center" wrapText="1"/>
    </xf>
    <xf numFmtId="0" fontId="29" fillId="27" borderId="13" xfId="0" applyFont="1" applyFill="1" applyBorder="1" applyAlignment="1">
      <alignment horizontal="center" wrapText="1"/>
    </xf>
    <xf numFmtId="0" fontId="32" fillId="23" borderId="44" xfId="0" applyFont="1" applyFill="1" applyBorder="1" applyAlignment="1">
      <alignment horizontal="center" wrapText="1"/>
    </xf>
    <xf numFmtId="0" fontId="32" fillId="23" borderId="20" xfId="0" applyFont="1" applyFill="1" applyBorder="1" applyAlignment="1">
      <alignment horizontal="center"/>
    </xf>
    <xf numFmtId="0" fontId="32" fillId="23" borderId="27" xfId="0" applyFont="1" applyFill="1" applyBorder="1" applyAlignment="1">
      <alignment horizontal="center"/>
    </xf>
    <xf numFmtId="0" fontId="32" fillId="23" borderId="45" xfId="0" applyFont="1" applyFill="1" applyBorder="1" applyAlignment="1">
      <alignment horizontal="center"/>
    </xf>
    <xf numFmtId="0" fontId="32" fillId="23" borderId="0" xfId="0" applyFont="1" applyFill="1" applyAlignment="1">
      <alignment horizontal="center"/>
    </xf>
    <xf numFmtId="0" fontId="32" fillId="23" borderId="46" xfId="0" applyFont="1" applyFill="1" applyBorder="1" applyAlignment="1">
      <alignment horizontal="center"/>
    </xf>
    <xf numFmtId="0" fontId="32" fillId="23" borderId="7" xfId="0" applyFont="1" applyFill="1" applyBorder="1" applyAlignment="1">
      <alignment horizontal="center"/>
    </xf>
    <xf numFmtId="0" fontId="32" fillId="23" borderId="47" xfId="0" applyFont="1" applyFill="1" applyBorder="1" applyAlignment="1">
      <alignment horizontal="center"/>
    </xf>
    <xf numFmtId="0" fontId="32" fillId="23" borderId="48" xfId="0" applyFont="1" applyFill="1" applyBorder="1" applyAlignment="1">
      <alignment horizontal="center"/>
    </xf>
    <xf numFmtId="165" fontId="24" fillId="28" borderId="1" xfId="0" applyNumberFormat="1" applyFont="1" applyFill="1" applyBorder="1" applyAlignment="1">
      <alignment horizontal="center" vertical="center" wrapText="1"/>
    </xf>
    <xf numFmtId="0" fontId="29" fillId="27" borderId="12" xfId="0" applyFont="1" applyFill="1" applyBorder="1" applyAlignment="1">
      <alignment horizontal="center"/>
    </xf>
    <xf numFmtId="0" fontId="29" fillId="27" borderId="13" xfId="0" applyFont="1" applyFill="1" applyBorder="1" applyAlignment="1">
      <alignment horizontal="center"/>
    </xf>
    <xf numFmtId="0" fontId="30" fillId="27" borderId="12" xfId="0" applyFont="1" applyFill="1" applyBorder="1" applyAlignment="1">
      <alignment horizontal="center" wrapText="1"/>
    </xf>
    <xf numFmtId="0" fontId="30" fillId="27" borderId="25" xfId="0" applyFont="1" applyFill="1" applyBorder="1" applyAlignment="1">
      <alignment horizontal="center" wrapText="1"/>
    </xf>
    <xf numFmtId="0" fontId="30" fillId="27" borderId="13" xfId="0" applyFont="1" applyFill="1" applyBorder="1" applyAlignment="1">
      <alignment horizontal="center" wrapText="1"/>
    </xf>
    <xf numFmtId="0" fontId="27" fillId="26" borderId="1" xfId="0" applyFont="1" applyFill="1" applyBorder="1" applyAlignment="1">
      <alignment horizontal="center"/>
    </xf>
    <xf numFmtId="0" fontId="26" fillId="5" borderId="41" xfId="0" applyFont="1" applyFill="1" applyBorder="1" applyAlignment="1">
      <alignment horizontal="center" wrapText="1"/>
    </xf>
    <xf numFmtId="0" fontId="26" fillId="5" borderId="42" xfId="0" applyFont="1" applyFill="1" applyBorder="1" applyAlignment="1">
      <alignment horizontal="center" wrapText="1"/>
    </xf>
    <xf numFmtId="0" fontId="26" fillId="5" borderId="43" xfId="0" applyFont="1" applyFill="1" applyBorder="1" applyAlignment="1">
      <alignment horizontal="center" wrapText="1"/>
    </xf>
    <xf numFmtId="0" fontId="27" fillId="26" borderId="3" xfId="0" applyFont="1" applyFill="1" applyBorder="1" applyAlignment="1">
      <alignment horizontal="center"/>
    </xf>
  </cellXfs>
  <cellStyles count="5">
    <cellStyle name="Incorrecto" xfId="4" builtinId="27"/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3AADFE-C3DD-4F4B-BAE9-07B50F174162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B54B1DB-6696-405F-BB2F-DF6AE93DA11E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FFD88B-D814-4F9C-9FBF-B44E7F4859C1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76EC83-2868-40D7-BAFC-E8A9E1F07600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D8E8C6D-CC0C-4798-909E-E45F91DD8217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AC0B585-721E-4B8B-A7D2-4E6C578336FB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2F4B039-E6D4-4D96-819E-0761B32E8D09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E840444-3F20-46AD-BA86-E2DDA7322B74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9177566-CB7E-490E-9123-486809F8062F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026385E-9DA7-447E-BB4A-55CD2B557A28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FB812A7-F03C-4E32-A540-7CDE363D03D6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BA8FB1-8D34-4DA3-B2E2-97D85A4D54C5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99186B2-19C7-4535-AC5A-5E5A1FAC3ED9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266150D-33CD-438B-A9B5-863A4922FCC0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B361693-2C8B-4BDE-B25C-18D545FDB6CF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35FF4A-41C7-41F9-A481-0D75C5AB7ECF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2DF34D7-76E0-408F-AAA1-5F55DBE06F81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9BCA9CC-D592-4FFA-A7EC-FEE15ADAF415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9EF46CC-150C-4906-A97E-8E61A43A392C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AAF286E-8D93-4EE2-BB79-D954CB58668A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02FCCEE-ED08-41A8-BF95-79C973844810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04740AF-B8C3-4935-B2F5-02370AAE5F04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C232E18-188C-4C8C-8AF8-919725FA2D19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E15BE16-67DF-4471-B318-FB8009DFE08D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F817DBC-1C82-472D-B8B1-518B7AD986C5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F9309FC-7243-4E13-B893-5A69195CFAFF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395DCEC-69F3-4E1B-8269-72C27DF760AB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A8E3F0F-79F6-4EA0-9740-C1A642B940B9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B967C6-0417-4FBC-A20D-43AA3F9DEBC1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45633E8-080E-41BB-880D-58A0B09CFB44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6D2F339-E92E-4433-AFF4-661F28AD35FF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09B3CBA-F12C-47C9-86B8-56858591A406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F3BAF65-6971-4655-B2F9-A96C854FD927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71236D4-BFC9-4E84-BB44-0749FFD16EC1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52E871E-451A-4421-9617-5ACFC3A9FA24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835C563-5933-44CA-90FE-B983A30C7E25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2C0C41A-4E4D-43BF-B66F-2AC10297FB0D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67B08AB-2655-496D-8FB6-3FA3D92A1BE9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CC6865F-4638-4DAC-B319-41AC80CAD25A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C8E42FE-8E03-45A8-95C6-9FFAF9B1C303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2F12F6C-903F-442B-9FA9-0F3C08A8EC4C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6040469-BDC7-4631-B7B7-210D6885B100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30D4AC5-A751-4AEF-A19F-30F75AABFCE6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1D370F5-EDFD-4647-B3C5-F340EDEF7DA9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8691073-AD87-4277-9AD7-2DD8B9DE9BFD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7AFB39C-4FB4-4578-95FD-B324BE76D0C5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3F44235-139D-46FD-B4AF-1338F45DB958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7483FF4-F667-4AAB-9906-244A5A8103B3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6EC83191-6DD1-46D6-94AA-1342602F0FF5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67E8260-2207-4E05-AA86-DE5084F492A8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F7C3183-342D-4EA3-BE33-7AE7E7E73039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BC47E54-EA15-4BCF-A468-5CD9698C9C35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D96A912-7099-4473-ACA8-BE466C9486AC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3E715C6-FE56-4974-890B-E8888094843A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692396A-AB56-4176-902C-76E9617A7DE4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8DF7CD7-AB34-4FFA-9E09-CEB623138EB9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8362119-91A7-45F2-9B82-2A1A59D5CDF3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F6DFF62-EDE1-4650-AC99-F19C99F9E019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5B115C-72FC-424E-8612-C50011DDB559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88238A0-0E3F-4F36-8CAF-F3F9593C2563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F1758EE-F64A-4098-A791-5DFFA4C23079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357A4F1-F476-491D-B721-417D98DAF334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6F3215D-BAE3-441E-A41C-9E508378CB52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259B409-80A3-4775-95A1-F9E8C5CC5FD5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DB14F92-85BD-47E4-BD76-B69CB6AEBD7C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BF14A8A-36FA-40A9-9DBF-A2F1F96BBF70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5D22B7C-D019-4418-99AA-7BEC29AE9747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E31293C-0047-4FBE-910E-D08BAC175FD4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D1607044-DD86-4DF8-979D-1343DDF91CC5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ED47EBB-5650-41F6-80F8-7A8E66441249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CB0ABC4-4720-43EF-B787-5445D38B3E7A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F3FF111-BA2E-42B6-B72A-2683B387E570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D9D535E3-3262-4957-983F-AA3ACA0C77AA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3FE19C6-1D91-4041-BCF8-4B91C53E34AD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AC80E0A-0DFC-48B0-99ED-EDFD5DA26D39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377BCC5-AF78-4DEA-BC14-F88DB3773846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BF57A6C8-C3D7-4965-A38C-12CA11CF7054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62C1685-53BD-4163-9C1B-1B04A3E414B6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34EA5BF-63FD-4F9C-BE67-D81D98303283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6AB9E49-7E8F-4996-A028-D1F176D6E099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AC5A08B-0C07-49D5-ABE6-CCA81DD81392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6ED419C-639E-46CD-8115-A403C0965748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B5B4E31-0467-4461-B548-6EE6F41EFF9F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3F03B90-AB0D-4382-BF99-16665BDD9FBA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F1E01D5-FB72-4E02-AF4B-40E7B4EC8AF8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1624416-47D9-4069-8175-6BA033EBCA4A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E5016D48-1F6F-4F65-AD64-D5C4E505750F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F7504D59-45BA-4D61-996B-F4FF60753E70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74778E8-2FB7-4AA9-98F1-096D0C270734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48503FE-BFC2-4991-975E-8F2EF4D850A6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2C63398-65F4-4B3D-8B71-96CC3E3661BA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3F5EF07A-E689-4C41-AB5A-281D0A6FEF2F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181544AF-F095-465D-94CE-F51729EDBC35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75576F9-9DC1-4301-BC40-BBC0ED39B650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3F0D4605-3F1E-4B2C-9568-21FA3FB20073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FAC0F97-C1B7-423E-AABA-B269F1274B24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DF0BF51A-7A7D-45DF-B7FF-68A7B8C24853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683DA396-8041-4981-BB8C-A865A22F9EAE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513BBBB-D3FC-4293-97BF-6DE844758DCD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88165556-28C5-43F9-9B2E-8CF2621CF50F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81F5D3E9-63DD-4CEB-9C60-10494A89B3EF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32BBB317-A6F3-4331-899C-3462FD7D1196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FF2CD9A-1DD6-4B44-8A93-A42B8FE90770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36F2206-1A05-46C4-84EF-0D4DF94212BA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E14975E-1D01-4A38-8542-2816927FC175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37AA0ABF-ABAB-4DE0-BABA-E23B9AB3C10D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7C0A1B8C-B371-4DC3-83FC-7E22B61BB4E4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48CAA88E-5C40-4DD6-B0A2-0D4F4BF9A450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C9AE739-C94E-4C00-BAAB-C8741FE9F1A4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72A3FEBD-B09D-402A-B1F9-A06D08D6B8D9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4592475-CB42-459B-AF9B-BBC3DB5C337A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7E7E286C-46F0-4D5D-9DC3-82B362B29ED5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D662AD1-B37F-4BA4-B7E0-16C5C4E53CF0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86677B40-3D53-4815-9446-E60698DBCCA8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9F5609D-9876-4C9E-A760-56C35D65F994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3539882-80DF-4777-8031-32CA9011EBC4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CF763EC-2332-4499-ACDA-97937C9266F2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5A2B175-102F-4CFC-9104-C6BE0E7CB43C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8C734926-0E4F-486F-A9DB-DAC0B9F31CBF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BECAC3C-2864-44C3-AFE3-80285325950E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0371F9E-A0CC-4229-A7AC-6BFB7167320B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0AF914B-0DBE-4F83-873B-2DAFC0DD806E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E0388D7F-4BBC-4D50-B996-2A31F4BA2560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51086226-3681-4ED0-8103-A18DF7D5C08B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0C37332-BA2A-49EA-AC01-DD3DF4D9C1B7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C6663CD1-1253-4B12-B178-E09516BFA1C4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F5268BF-462C-4AB8-BA1E-12AB855D86D9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C164E06C-545D-4319-B7AA-9FB10D0C7E37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A159A433-8D28-411F-8548-39B5B64A705F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5320993-BFA8-44AB-9886-46658282624E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AD9E98A5-7295-4C63-91EF-A39ECA6B4B66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3B9BF3C3-34B1-4625-9F11-0ED58F7C2F96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A2CDD72-F82E-4BE3-BB70-04684CB9A2C8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E8CCD13E-4A81-4B77-80DC-56E7E78382FC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C0BA00D0-B09A-4EF1-B520-FD3680FF6B81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340ACBE-3583-4C7B-9CDA-488A3DD54280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F0A19614-A3DF-487D-84F3-FC29D0C698DA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69F7264-C976-47E7-8A5C-9870F12B6E4A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3F274E15-3C9B-4FAA-8B52-A61BD6F06AA3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7BE49168-E891-40A4-908F-E63DF30B0D6B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B33603A3-AC5D-4812-BB71-A473C15B0464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111E099C-963B-4344-A5B1-BB248E8F6272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115FAB9D-364A-4ED6-BCF9-1EAF75E9BFEF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935E2BFA-6AC0-4CCA-B152-9E7CB8F30C06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FFFCF897-C1C2-49B1-8647-EAC903B1ED84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ED10980-7F9C-4633-A12F-F5AF0033DD13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45BA05C0-C606-4A85-89B8-7556BEFE48CD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D38532E9-CA06-4A2B-AED3-FC8077C734A0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3F22577-C40F-4601-BE0C-1877B4B6F78F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EB507B1B-E86F-47C5-B42E-8066277133E4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DD518F38-3603-4523-A5D0-CDC3D899D880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5B74E9FE-3260-4554-9C76-1142DD9DC347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610EB1FA-8B85-44E3-BA11-181D84787368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D20E9305-C3E7-497E-8647-E259ED9AE7F2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2288F6E-7F41-4E76-8EED-0602D446C8AA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68A17EE7-A1DF-42CE-AEC4-FA06E1E8BD1E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BB6744A6-358A-4526-848E-4AE9F45259C2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C27AE527-CC1B-4C67-9793-425F6EA6F62C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16077FF0-93F0-44BE-94C9-76CBE28E53A5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EC4EE917-C89F-4F31-9882-C5D66214FCDB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3FB47F6A-00C2-4CA1-A5B7-D9C012C9B03E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9B70E5A5-871A-4113-8FBD-7791620BD868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23CFE909-46A1-4072-86E2-D53E3DF1BE0A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D3E38A36-E60B-45A3-801F-0DFBCC672674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67FC38F8-9F27-46EC-B23B-5C37B623B09B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1F16BEF3-10BF-41BC-9D94-5E5967249978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1833014A-12D2-4610-9F87-607F66D00A88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562ED9BB-2BCE-4143-A651-F5436428497A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C9A391C6-CBCE-4D08-B7EC-3675B9D2CB62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174681A-A72A-438C-B2F3-93C220E28FE8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2ACA42F3-1416-4E15-BEBF-F363E607E425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30BB1F0-7830-4AB9-95EE-BFACB2C9B215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2302580F-C7DB-4444-83E9-CF32CD1CED7E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B82FDF31-DE79-4371-947C-0E4A35AE2CD2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EB0A73A-B3C4-48BB-ACE2-322BC7F63667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5155BB5-362E-4774-B7A9-4A4B39A5B28F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A3C46AAD-9819-4A65-A619-672B83160D74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80EBA33E-A090-4044-9E44-33D6224A0F1D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4D3CDE1-3DC4-4B86-BBB5-F5206CA193CF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800D411A-022C-499A-AB41-4246AB4B845C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36C25AE-5F63-4089-846B-A4234B294623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F57E0010-C17C-4C62-A823-F147363E399A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BDFF0FF2-27B9-480E-8876-DD67D55B079C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511F5CF4-884F-4066-A169-6063341E631B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D7A5865-81E7-4C75-AE43-63EFBCE7B501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D14DBF99-159F-4317-9CB7-DC0C3045FDDE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29B61085-13C5-4642-992A-2612EA9EF0C4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E5D404F3-971D-445B-AF3E-2D3CE52EB82D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93064E0C-261B-4535-B533-F86225FD2C11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E3CA13FF-3656-4F4D-9727-6F50719417EA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274FA181-6A1E-4F93-BD47-7F670FE59203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BB11CF47-45F7-4CD4-87F2-8CB4B65E6EF3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EC055E16-55F2-40F6-80B6-B91333539E6B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8D070DD-9BF7-4EFF-8949-C68039AF4B7C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4E151779-619D-42FF-9051-97AB5F863720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D279E66A-0CA9-4666-9F11-03BEF364230E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8AE1AD4-8BCF-4115-9831-382C985E5FF6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B1B987FE-B152-431D-B661-E7408EFD9C5D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24C5AE6E-264C-449E-BDB6-510C7F6ED8D7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224688C-77AD-47E9-B260-E17A7EBC531F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6F019770-076F-4628-B6A2-2B009E66BCE6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F3375857-F3A7-4061-B736-5652619D25AF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37C39BC2-F130-4F6E-8747-0F9D90727219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B951F591-CF5C-4EF4-8318-7FD27A1D9DBD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702709C0-771A-402E-8169-FD1DB9EA175A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8C4B9566-1E98-4ADD-8995-B776BA316492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D21D57F9-8652-4C54-A5AC-E961DF6EB9E7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29EC34A9-14AA-4364-8BAF-9F4C3E171EB9}"/>
            </a:ext>
          </a:extLst>
        </xdr:cNvPr>
        <xdr:cNvSpPr txBox="1"/>
      </xdr:nvSpPr>
      <xdr:spPr>
        <a:xfrm>
          <a:off x="3038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FE390513-9DB4-404E-B0AF-70F86ECCBD67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78078663-8AD8-43DF-957E-B77CBE8C5E34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ABA0CD78-E8E3-44E2-98B3-CBA507B89959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2A6661F1-1BBA-4890-BF7E-0C31D95DD01B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1D182AD5-26BD-4BE0-B24C-76E460F94F1C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25B4C17D-2622-41E0-84EC-043C06ACF46C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F0509893-D47D-4239-8349-0C2361CBA5B9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912C575F-713A-465D-AD99-D2DCC41B5BD8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974D0CFF-1C0A-4EB5-953D-50D99FE36F0F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B79E107F-7375-43CD-B110-0C83E3C796C6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C5656F3F-FDF5-45AA-AB66-802ABF4A00CE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4BC825AB-67E3-4A40-A680-651E6944519D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5C1766F6-8C62-40DE-B67E-8EC469F27AF3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A00349DD-EBC8-4A2A-81F4-E97A89C13233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89FF1AA6-7AAA-4AF0-894D-C35D8DA8BE97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EB30C05D-7C4B-4DCE-8F3A-BA81EACD54B5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562F1FD1-11CA-4BA1-9BFA-BD28017C74A6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53CF2F15-1EDF-47A0-ABBF-DB1A0741BC77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32687697-FD34-470F-8C99-26BC0FBCB35D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6BB3BEAD-FE3C-4D82-A813-C2D570D63E72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4E1ECCF5-B8EB-44EB-B975-BBFBAA6F6F5F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8B777BCC-9690-4CA1-8890-04B3916B79FE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7FB730F6-8438-40E3-A832-62B96C8227F6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546CEF64-3E46-45AC-9449-77C3B5F53547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7AC3C04D-027D-423E-BA15-00FBAF1CE513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D66B6A4-4250-4671-BAAB-53EEF75A31F6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D4D18F20-5055-4BD4-BEA7-A6EE2C7E38F6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105F35D0-CB36-472B-AB23-F9E74FC3AF2D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EE217911-78D5-42ED-BF1C-BC32AD8B28B6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B54E70C8-706B-4782-9681-0966A087F0CC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E1B5AA75-FDA3-4783-BB39-B323D3F8217A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4F4A4E3-EA02-480B-B032-BF5AF1D8A324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D9F36CCE-555C-42D2-B893-FD44FE2B5053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6B0A7EF4-F64F-4FB1-AD4F-2EDBDD14FAE2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76090917-8315-443F-9CD8-4DF38AE9AE2A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4B02D6F3-AD9F-4C0C-B7A2-01D0ACF3E31A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65604DC9-0CB0-4E01-84C5-52F22E952672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DB960714-5716-4616-9113-42259105C09B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A4A7045A-4528-452B-9DC2-C46282B5A43E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2C564C4D-4EE1-4955-9044-CF9B1B0490E5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D1FAD470-DB5C-4387-8A95-BF227C23575D}"/>
            </a:ext>
          </a:extLst>
        </xdr:cNvPr>
        <xdr:cNvSpPr txBox="1"/>
      </xdr:nvSpPr>
      <xdr:spPr>
        <a:xfrm>
          <a:off x="3038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8DB7190C-86D9-4122-B8BD-A15C32051D08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1F0AD81A-1FFA-4F3B-BEBC-4372704CF563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515C7157-87CD-4DE4-8679-9A67C10C0380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36E14119-B92A-4444-877A-AB9BACEC1887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BD60591A-8A8C-43F0-A35B-33E94EEAE269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7F45093B-5A17-4A22-B792-756C81F5394C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7F44F510-4450-4B2C-8064-291903DC21C2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78A4A2F5-D06D-49DB-BD79-D1C7B3F36573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677DD1C7-F791-4A71-86B1-939E14B53173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AACFA61E-1A5C-4467-AC23-B69191A100D2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1DA3643D-F6DE-4EE7-9214-E3D21A6ED1E6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2EDD06AD-4F47-4BC3-AAC8-E12E7F8BE415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532C56B2-6DBC-48DB-8D1E-8A21DC23F481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1C4C38A6-3D73-46EE-80A5-72E9E09A68C1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C3C4898C-1FE4-4F08-9A8B-393661AA2B1D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A8FFFBA2-CFB3-4120-B533-13FE837C5A79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B0FE9046-6AFE-4043-8E52-D509F91CACB3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67299F30-1808-4F0B-8080-610A33079608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894ED754-B65C-4390-A1FE-FA12F9DF43BA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8EF15945-A8F3-445E-BDD2-DE8F081910D2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FEE32303-32C1-4944-A904-20C9069892A1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506D33F5-5E65-4691-8BDA-D1C4154FCCE2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67FCA559-0CC4-43F5-B497-625FCA939104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3F16A45-BA6D-4596-A079-1562BA274248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9BA055D6-DC83-458C-BB0B-33F6452C42FA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9C75E4F8-6D6B-4D0A-9ABB-A56B330EB08A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6D4CC396-D4C1-498B-85BB-320A9AF9D1C7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48C306BB-256A-4675-BA64-489DF0050882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43B0DE6A-06D4-4602-BF90-75773E0A682F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281D3931-88E1-47FC-8DFD-A0487F57AF79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F27208FB-0145-4645-A600-168042083782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3727D474-BA8A-4E9C-9D5D-F4CB8D283C89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65F2D2C3-2802-4309-8977-AC7AFE4225D3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4872E79A-1D81-4487-ABB0-92C1BD713625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ABF49722-2F64-4E48-984C-E4D8B27A6CBD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3DE536BC-3EB3-4ECD-A8A0-5535F23A9620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2254FDC0-1B34-4F54-99C7-19C67EAA167E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DE29DB8D-2745-49E3-8900-6CC538158A7E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A6062F4C-9981-4AA1-96F2-08A7A30F7323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8C6B7B32-6555-4EF9-AF00-36943DB98831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573CE94C-E25E-4C77-8C7D-1A92486E3988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F7890691-2ACF-498C-A56F-3A8B1C5A9A40}"/>
            </a:ext>
          </a:extLst>
        </xdr:cNvPr>
        <xdr:cNvSpPr txBox="1"/>
      </xdr:nvSpPr>
      <xdr:spPr>
        <a:xfrm>
          <a:off x="4257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6282F643-D6A0-4F07-A9F7-BD6CE3DEF8EF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B577BB72-13E9-4F9F-9DBC-2274A142723A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8DB4CC7C-3B4F-49BA-A3F9-3F491872F16D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4527FE17-F7DD-4E0F-A4A8-EAEC080C874D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139D2E6F-013F-431E-B07D-C3A8F3698D46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BCF4E0EE-CC5D-4B61-B923-AE674ECF93BC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BB2DB1EF-86F2-443F-83F9-7C683A2BD763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AEF2A4F4-EE04-4C08-A038-046DEC3F1C00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D19B304A-CAB6-4FD3-9400-3DA562610624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9968A527-066F-4808-A192-2B6870DA7001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72F53606-9724-4F66-8CBE-A7F81E3B572B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704F3267-B2C8-478B-9929-33768607FDB8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E0A4A2F2-D95D-4405-915A-0FFF1EFD7E18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7FD7D026-1785-4262-9388-79CE538CDB46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D47ABCCC-A328-49F4-ADDE-A5064A1DD6A8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7B54802-3544-4A50-8AAC-E2D74C715F14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E5C4C812-FCC1-48B2-9680-1D642DF94217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2B3C35F4-B81E-45B5-B470-4AA5CD6182E6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74A82CD4-CE2D-4D04-8F36-62B7195B85D2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ECE5FB41-A2EC-4C22-A585-C6EBDCC486B5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584A0BAC-1339-490F-8148-3327917972B1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4A2782AA-DEEE-46C2-AC7F-91821DE1B85D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C3CF0B40-E2D4-4FF3-927E-76F4C0F5698B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4A7605CF-BDBD-4717-BDB5-6E5E069CAA13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D21456C2-2B91-463A-8ADA-47A93D1DCC55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933A1C00-D165-457A-8B46-7D6AC269793B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58AD9B4B-594F-4B1B-862D-E39C8C8AA0FB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B9972F8-DC6D-4DA8-8C8E-1BBD45E120DB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453782AA-3BFA-4333-8600-B6E4F8BD39A5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A5241B50-184D-47EF-8324-F957BA242D72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5EF66609-93FA-421C-915A-337226C07A7C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D0964577-A1BD-4F54-841F-650A4250ED0F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C94D7D25-2594-449F-8AF5-3A0FA2188C1E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BA03365F-55EC-43A1-9D1A-FC5715A7EA15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774A2CDD-D2EB-428D-BADE-632DA5B2E911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EE064D3F-07B0-482F-BFCF-32FCC19E3EF0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B28AD9CB-E56F-4E98-9902-1D341BAB426E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38570477-C83B-478A-92EE-D5208CD03319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72E7453E-82C7-4D79-8006-2E2B844630EB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5F48F92-6557-474A-9478-E43007A7685F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2C13C1F7-6A0F-41FC-A24E-B46E7DC76AAB}"/>
            </a:ext>
          </a:extLst>
        </xdr:cNvPr>
        <xdr:cNvSpPr txBox="1"/>
      </xdr:nvSpPr>
      <xdr:spPr>
        <a:xfrm>
          <a:off x="4257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FB4F9CFE-AD27-45C8-8252-E9BF5A18FC13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574BEC01-AE0F-478C-B239-48E0312E732D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9A009576-88BA-4534-AD27-703B2525BE8A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B3792045-29D9-4239-BBB5-9C2F1A0E7CDC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9A6D3E82-189F-4BD3-933C-36FFC12A415F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CDA39A43-8650-42FF-9723-582DA8FED9ED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4AB16C68-90E8-495B-A490-2FD5E8577ACF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D7F996A4-9850-41CF-958A-0A64D40AE1BB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F8F4FF88-E5D4-4A00-9213-E8B792706B34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6C216A38-0013-4313-85E4-E7C175D340CA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A87D892E-B588-4F23-A261-FBBBDAFD4AFF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8861331E-96F1-44FB-A419-A11B1ACC99B1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561AA01-040E-4202-B249-F8D94C0957F7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AEBE5253-E189-4398-8F26-E11AB34D4CEB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1FDC487B-E44C-41E8-BC3B-1852B3423D4C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D53DB6A1-1F6F-4506-A98D-3B02A012245C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DE3979DA-4196-4C92-8BE5-13EAA706F91B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9399B14A-9503-4F1A-B8AA-E68A58DE316F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D404AAD5-C5CB-4576-9DAA-5CBC6F44AB1C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91BD3EDD-742E-412A-9F55-A0E2E9AC2F3F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A987B2-1716-4CDA-8241-CA48A8463D65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21829432-CC0E-4481-9803-F7C287A8E195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D5655BBC-87FA-410A-B343-473420B3E1A8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BBCE1541-B079-456A-B534-4470F7B244E6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8B664A17-A697-43CD-8232-55C6EC679B9F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7B5295B4-6927-4282-B763-D5123522D2EF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7EC951D9-997C-49C7-93DA-4EB9B3FF9D64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3DA3D945-7781-4128-8152-99D6FB22995E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76B5C6E2-06C5-47A2-A727-546061A6A040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3A13BD0F-1C44-4612-A9F2-6A275EE2546E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8A8908FF-1343-42FD-9752-616CB41D556D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53E2AC6-4F1A-424A-9500-8EF95B1AF1E2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DE70D1B4-6EDE-4A7F-B9EF-2D477D787687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B8F9801B-3413-4786-B305-31DADBB35511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ECAB313F-ED18-45A9-B038-D44E3B7D1DAB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24466E7-C079-4A19-A9C2-1B0E2CE4D511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96E44AD5-B536-4CF4-A84A-55E3D5E9163D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3E95B735-E171-415F-8ED5-6058EFA4E5E9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65F1CC4A-704B-4504-BCBD-A0800A8A3910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82A86751-2DA7-4F2E-997F-44BEAEFFACD6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1F32C104-4FC1-435C-A7A6-9CC07D5CEB5E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DB31EC2A-2FA5-44C3-98EE-479EB1CB0649}"/>
            </a:ext>
          </a:extLst>
        </xdr:cNvPr>
        <xdr:cNvSpPr txBox="1"/>
      </xdr:nvSpPr>
      <xdr:spPr>
        <a:xfrm>
          <a:off x="5476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812D9FDE-24EF-4F21-B6D3-82540E355D99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5FC8D4C5-006E-451E-993D-AEDE86991490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5F83B931-1BBB-489A-AE3C-34B4171157D9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57F5822D-4394-4EA6-B3DE-69554CBE4EB4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2395F351-2956-417A-898D-7D92A5EFF9F6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94A919D5-5BBF-4036-A662-536361C907D2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F13EE0E6-E199-462D-A0BC-EC3C8287BAFE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6489D003-41B7-4C32-8825-2F33B4407799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6BAC8675-3F48-4E0F-8712-1367786C4340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C7F95D08-8B42-4EE1-A14E-13CBB000B7F0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BBC25E5C-7FAB-4DF8-A2DC-A950BF44103E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745B801B-0A8F-4502-B62E-DF3DC75CC993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9F5D7E5C-1E92-4593-AE58-AF647CAF7326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5E9ED3BC-369E-4A9E-A9F9-A845E0DB2FD3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4F5FE579-AC44-4D01-A48C-9C5F4A6FB8C9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A0E5D9CD-5BB2-4108-9A21-64BE68E814E7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9AD735A8-A7F8-44AC-B663-BF473BF278E3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93B3136F-83F1-422A-A997-46D26AEB49F5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118E0ED4-4C85-479C-AA09-5ADBBA071594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AD930DCD-86C1-474D-9630-9C7AD5D7FDCC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D6CAC00E-E6D0-48AD-846C-1D5E34868072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7C96D5C8-4BFF-4B1D-9B8D-52C8D3B0A143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E9EB8516-9741-4544-ABCC-4C79BAF9AA99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C9845CFB-BBF9-4CCB-B6EE-85100ECFC6E4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C87E9DA8-E92C-4E9C-95E1-27B2ED50B6A7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2E2C39A6-EEE1-4AE3-BD46-0C6FED088D8D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F9252050-7ABD-4E57-BFFB-3EDEB786EBA2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4CD58576-EBB6-4CD2-94C4-4D34E42C6BEF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5BE338ED-8F94-42D1-98BC-EDDDF77A19B2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5238DD80-E67C-4CB5-AFC6-1B1D9D460587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C2C3D686-DD67-4195-BC16-675F982A7813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DFFA9E60-5626-4380-BF1E-E8F524598821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C27AC7C-89DD-49E9-BB26-DBFBE7853182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89FCC473-E105-4DF1-A172-47FE012483DC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800C6322-EDB0-441D-857B-BD6A0030E269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5A92D2BB-7723-48B6-AB6C-6C8C17F092A1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2FADFD49-D111-4E3F-9014-77FF3AC9AC88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7216FCC0-E789-43A6-90B7-13C5F250456F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D4A13D5D-9EA0-4F9A-9C37-E98637B8EAC0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11172F48-3635-4C56-A02B-74EB48300FEA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5B1D7A3B-C859-4BA3-9D6C-461AF29715EC}"/>
            </a:ext>
          </a:extLst>
        </xdr:cNvPr>
        <xdr:cNvSpPr txBox="1"/>
      </xdr:nvSpPr>
      <xdr:spPr>
        <a:xfrm>
          <a:off x="5476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786D8AC8-770F-4ED4-9283-42BDBBC485A4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5BBFD66D-5767-4F5A-9F56-6BF0CAAD9870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ABF65564-5ECF-4F3D-9664-71D847EBF14A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AA7203A9-CDB9-42F1-BE32-FC681C989562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E123677B-F4CC-4DE9-9DD2-B53BACEB0EC8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7E32FE48-335C-47F9-99AE-BF81CBACC48C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BFD34920-405F-4249-BECA-1A5098EC33B1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2EA6606D-3DF2-4EAF-BA5A-9AF5D7627709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BB4D7E9B-A973-4878-BC40-04660CAFAFE3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17725753-BE9D-441C-BAE3-D468905EF48D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6F4D2B13-68C3-46DF-BB77-0D5504480D3B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70483EAF-7821-4A41-B910-610512594999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10E710C3-BF87-4CF0-9416-FF57B5455DBF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6A020771-4B21-4F41-9B09-8EEB50ACC117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E870989-529B-43D8-BF9C-1ECB1FBDF0A9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498CA97-BBBF-4F14-96BF-17F307F4D133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3615C08F-A8B4-4E29-B7EA-0E7EAA3ED9A0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541B6B3F-0446-43F6-A1AB-D8CC7AA2B5BB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677559E9-2B85-40E7-AFDA-3E0105A5B114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EC724F5E-0E53-40B7-9B70-6130F4157441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2A12CFA4-BC03-4537-B207-9C52EFC2D635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64CB2FCD-5F95-473D-8EF1-D7DFF779A518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9ADCDC1B-B9AD-40F0-8539-10DF8681AA99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4E871773-088B-4393-BA46-AA4CA6343C7A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72BBE4D6-CDE7-4CB8-B748-72C36191C49F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B0D8670-96DA-4673-AF95-A8BB37D49F19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C3BD4073-B2A1-455D-9BDB-902B112F05CD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5531150F-CAD7-453A-AFED-176282DFC6DF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CA05F68D-B182-4E5A-BD29-E4777B0E9AB8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4E38B5BE-977B-44E8-9028-A636877E0987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42C48D35-DFFE-451F-96F2-CCF1A984837E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C3AD3A36-47CD-4CF4-B355-814B33993B18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913DF2A-AA6A-4A85-B58C-1B456975C970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A7EDE059-6822-4DF1-AE09-7D51383CBB83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43164B6A-663D-42E0-A04E-5A9D25146DB7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28A6E44C-92CF-490A-AEA7-CC555E6147CA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EEA50E6D-F627-4E8B-A4DF-1059ABAABE57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1DA273B5-18F3-4932-A7B8-943F6B2DA78D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5509D8FF-14A7-4D4A-A0CB-BB81AD3E8E12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92EBB451-FE5F-474E-A50B-8E02920CE61B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F5E47736-731E-4384-B3B8-94F1D0D6A5B5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24A54582-7D37-461A-9E89-F646A40D98AC}"/>
            </a:ext>
          </a:extLst>
        </xdr:cNvPr>
        <xdr:cNvSpPr txBox="1"/>
      </xdr:nvSpPr>
      <xdr:spPr>
        <a:xfrm>
          <a:off x="6696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5B7561A4-3EE3-4ACF-92B7-67F2D908CDD8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AD0C5975-080F-4585-A60E-B49F7216C630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F4565DC3-CD01-40D3-99AD-AB10F2D57870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E8CE67FA-8CFF-4DAF-A0CC-088B1E3E51DE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C6E73D17-D059-4664-B1F4-CF0374FA5542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BDDEBE0F-1DE0-4A4C-B45D-8A93EB0A7D89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E7E17253-3C60-416F-927E-4E0B3459DAE0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1D480259-F2D7-4ABA-A5A1-B12E098CB457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555EA172-AAF1-41E8-B389-E5EBB823E3E9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6996688F-6E4A-4A8E-A1DB-A5DE6FA387E5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600D5ED1-6513-48D4-A5FA-79BEE0C34EDB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E5923121-F70D-4E64-AD72-05987AFD705B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F32A3307-7D3E-48E1-A61F-64A00187C8A6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7DAFB975-FA46-48FB-BB4C-0B45EB0728ED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AC991D1F-551F-445B-B3DD-E2A9A1A87000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1C6FE507-B479-4577-BEB4-927B69CCB86E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C65EE7FF-3D53-4A3F-BF23-EA0EE3D628F8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147486E0-32B3-48B7-A78C-202B40503F22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F3A867DA-7B81-4B2F-8EEB-361657BDF77F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75A8AEAB-AE8A-41F8-A9E7-8880FD18B7A8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C465ABC5-259D-4FDC-9178-EFB9A41DA741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4E74774E-AE2D-4E46-8628-1265A8A9FEFD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E52B0FAC-EDA0-4F1B-B316-8E44D2139D59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CF535FD6-F961-4D29-9F2B-94A41BB755FC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56594BA6-D15D-468E-9C3B-BE0565ED2CE8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F2F59AEA-183F-4EB1-B09C-93F594E937DD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751A6B86-44F0-4F4E-B6AA-70A1097F68D3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6B7EFF4E-8DEC-4AB4-9017-13DC84E56836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FC982929-1928-4A45-8F41-3233C15820FE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A41E1456-85EF-4EF1-80F0-7338BBB88EFF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D6A1007F-3844-41A0-B3C6-F3D21A4C45CA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17F3C20F-CEB6-4779-BC76-DA9E9516B4A3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FAA52112-103C-439F-8992-7CE1313F447B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572FA604-051B-42EC-A662-4F1A23DA8419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AC0A7F04-1A4D-49E6-8A57-BD51FFC93EDC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CCC7D660-EF29-413D-80B3-6F83F648037F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CE5B6027-DBEB-4098-A854-17D2F1462B71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EE5C911-E6C3-4C88-81FF-756EBD2B2E83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D2B093E1-FFBB-43FA-BD8C-F45FB4BBD62D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5E06921E-0A26-484E-8A76-8664ABF907E9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3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E5AE4FE4-7FC4-44ED-9343-BD96BBB14957}"/>
            </a:ext>
          </a:extLst>
        </xdr:cNvPr>
        <xdr:cNvSpPr txBox="1"/>
      </xdr:nvSpPr>
      <xdr:spPr>
        <a:xfrm>
          <a:off x="6696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3E0E01E4-A17C-4D15-B89E-885375A552C8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343F6D28-BA20-494F-9179-4A3C47CE41A6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5B05478-83D3-44A9-9433-847C49D23699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80428EC5-002B-4E87-B92B-69FC1CB7A8C8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2D0A9F6D-A8D9-4D96-A1F1-96176A370EF0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5ABCDB0A-B73A-4360-AA11-E248F144E5AB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9E0CE093-F1E4-4863-80D4-84E4C40965AE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DE028C5A-CF3A-4874-B41F-F99B21EBA53D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D11400A1-A960-40FA-94E2-00E5D76AC1D3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2816F054-BD20-47DB-ADCC-77C4224878D3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A4211206-5805-4B42-9D3F-C31D24B1D57B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C69619F7-5C82-49C7-926F-45A40DDE9310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115C58C2-ABD1-4508-9700-8F402E49F921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43F9793D-EB2E-4023-AA4D-FAB4C946721F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495DE3D1-02E6-44E8-979E-B8470837CAEA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463398DC-261E-456B-8215-72BB4DBAEAE0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B8464A7A-0034-446B-9F2F-ADA95E84B47D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E2B8CA30-17B5-4FCC-A64A-7D733C48A4C2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2D3249DE-EE03-4FA5-A419-4C8A2B1C044A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9315D4EE-6C5F-4E83-AC6B-88664E71FDE5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DAC1A492-6F52-4A92-AD98-AFFBB3CB06F1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34858790-08C0-421C-B643-2262AC8BADDD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36C76147-6E9D-4C9D-87C4-5306737C0084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9C2DAD4B-2F34-4BE0-9399-3638A79838EE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E1E6D61D-80E6-4CBB-82C7-07F9A07CCA1C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56F8518E-0AB9-45BE-9C8F-15BDD4527772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6017E9C5-EEEB-4A9E-98E7-C706EF35BA8A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219AE9C6-963A-424D-9E7F-3D8D2BEB22CC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7F210735-2A2C-4490-9E8A-91B1137037B7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C58CFF80-6B55-4BD4-9916-D68A6B552A8E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22B18AD8-D2AD-4B3D-8A09-BBFF20F6613F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C450DB7D-C341-419E-B0D3-4768F8D97551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5C6EEEF6-0BE3-4743-9B97-0FD5F7B53B6A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A1C89005-66FD-47D0-98E1-308CE6425DE6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9D860B98-5950-4221-A62B-1DDA4D9B7EB0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A6240F06-0DCE-4706-A9D6-A7F41CABA325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CEABECA6-5B46-4387-9ED1-1E03440A9A02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4D26034C-CFB2-4A32-AACA-F7577A41CE57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A1570E0A-9738-4DBD-A723-5CFE4B97A0BE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9858E51B-3F13-4FB9-9348-2941D87F8BCA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E573BC10-C072-4378-B5A9-630356FCF7C0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6D5233B-1011-4F3E-AD9B-E39D24BA536A}"/>
            </a:ext>
          </a:extLst>
        </xdr:cNvPr>
        <xdr:cNvSpPr txBox="1"/>
      </xdr:nvSpPr>
      <xdr:spPr>
        <a:xfrm>
          <a:off x="7915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69019D27-6EC4-429C-852D-278BB785DB1E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E96D26C-B4C4-4794-9DFD-8361F3DFED66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D2D7A5FE-7562-4EEA-B613-4D012A95CFAF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BB2FC84D-64C8-42BF-995B-12A7FF1E1BA9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E70821C-048A-452D-A067-F2187D9B88FA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44D2FB3E-8474-47F6-B1C7-95AB385C85AB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6112066C-4CEA-4C8A-AE1E-92E8D045084A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11F74C18-48E0-4E4F-A9AD-C4359FC5E5CE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D71E8B08-8AE5-4FFE-BF04-CE3EB2C3EA96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AC10A368-9CE4-4C90-ADDC-C36303637F45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FE33F06B-2B09-48C1-9F5B-78483B461874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5C0026D1-930F-4BAA-8EBF-1BA3EA3D969D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B2792E34-A843-47BF-B18D-3B98B79A4665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4099785C-52D8-4C70-9249-AEDB86BDCE02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11A42368-E0E6-413C-A44F-C379FE0818E9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C0CEEDC8-B096-4F23-A50A-17FAB1AE6107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52A9B164-749E-44DC-A28B-818A1FD6F08C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3720C963-7E33-4217-9747-39ABEC705EFC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4434254A-2A0D-4058-9DA5-D9C876892E0A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A3364181-970B-48A0-8384-1185E16242D9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460D4A7C-C87D-48CB-9D12-561A23BE457F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80177F67-2158-45C9-A010-7C3BBC609807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C140C67A-D704-4CE6-A282-DB6F849A05E6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AA817E2E-3DEA-46DB-B9EC-F5ADD129B42A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428CF59E-D43A-44AC-8F27-6B06AA3128D7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E87871CE-BF04-458D-AFF1-89DEF2A2E59E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A691DC97-FC31-4052-9CEB-0638FA80D387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E462C9C9-CA37-4A20-9D38-BBB192F54DB8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6D0B1ABF-4C23-497B-A650-8D56DF2807E0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2AA1CF48-337C-46EE-9463-AB2EDAF67023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5AA32A4F-53B7-4A50-8904-E95787454E4E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4F92548E-ED8E-45C3-BD5A-27EAD335EB30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806BC9F7-CC96-4C57-A8F9-1E5A28F07957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6B97E8A0-FDFC-4366-AA50-A0E7835CDDF6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CB6299A-2997-4A22-AC41-FE9E8BF223C3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40C8DA1D-BEAF-431D-BA20-7D636A0075B4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93FA38DA-83BD-42FC-8AFA-888A104E7310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4252AD9B-4BF1-4640-8DFD-596AB591D55A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E3D7F335-7021-40DC-A084-E2D601F92FBF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A3EFBC0E-705D-423F-B30A-F957AC7CF6A9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8FC27643-6D20-4969-A4A5-1570E9FC05F4}"/>
            </a:ext>
          </a:extLst>
        </xdr:cNvPr>
        <xdr:cNvSpPr txBox="1"/>
      </xdr:nvSpPr>
      <xdr:spPr>
        <a:xfrm>
          <a:off x="7915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88DA6FF6-A8E3-4D4A-B643-68EFF1A5AAC9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77F8D877-DC45-4E46-A85D-04EDF257698A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BFC394E8-C86F-4191-8DCD-A209CB0C76AF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C17413FE-D136-4AAE-97E2-8363A43D3B41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0DC53AEC-4B47-4035-8134-E346BB2CB561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9BFC6A67-865E-41B0-999F-291B8BAF0817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D96CEB5D-B4C8-4188-A382-09401FD4F195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7443E4A2-88A2-409F-9626-FDBFB5834928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5BD5AD24-3798-4CC5-842A-0670188D6FD4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E39FEEB8-94F6-461D-AB5C-8820CB3ABD60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3944E92E-2CDC-49AD-909A-5BC78F9ABBFD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291750AC-E56B-48C9-B2CF-6402EAC7EE58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C6C4BA3-30CC-4D02-B172-31CA86FDCD72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531512C3-1EC8-464C-B1F7-9D2B2AF9C748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82D74199-80A1-4977-B4DE-5FCF175743D3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DC42FC8B-4A87-4926-9ED4-206F0DF2F3A3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93ED11D6-5C1C-494B-86D0-BEC5E860530D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13610FAC-54CA-4495-9C6A-2A6E62EF5EBB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B59FA212-3B6E-4DD0-8061-0F6F333686EA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74DA5EAD-2E5E-4C0E-85F9-A4C2DD128256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1F3F4E50-76D0-4CAA-90C0-9B05AE3277E2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A6DCFDB5-B6A0-4445-9BD6-AFE21897C1CB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D559A085-A4B8-489C-846E-7AE6C0ACF6D2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FC2CEC42-B959-4B8F-BD58-82BCB58F7592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58D5A34E-DE86-459B-B73B-BA3E518BFE56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70F19D1-9319-4C45-A551-79D3E9F454C1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37177773-91C6-400F-A8A7-5329A12D6FCE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4A4100C8-6C15-477D-B5A0-D74F36F78C04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6911229-13F2-413B-BA09-FB517FFB8359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D849BE57-F1B7-4904-9995-F88F0CBC1A60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545A2931-4F56-4810-B075-C937224350D1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7D63A6FA-31BC-4166-BF05-47B08238EE9A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AC9065A0-8283-410F-9CA8-5DD6FEF42CBF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E1C5AD1E-969A-46CE-A239-B300C84ACB2D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654D2E2F-B0F4-4011-ABAC-9ADC15E521CB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A557CDFB-AB6F-4D06-89F9-5E6C8E515D55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9DC02FD3-F5ED-4ABE-B8E9-E146EA24C8B4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EB030D34-CF7A-4FF2-8C85-ABB7E9154B2E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3341FA27-34DD-468E-8F8C-159C0993C50E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A88E5DA3-6770-4F95-886A-6E6A9D21EE18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6B2D2DF5-8396-4AB0-B484-69F96C1069A7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E614112-AC71-4165-9680-ED70DF9BE275}"/>
            </a:ext>
          </a:extLst>
        </xdr:cNvPr>
        <xdr:cNvSpPr txBox="1"/>
      </xdr:nvSpPr>
      <xdr:spPr>
        <a:xfrm>
          <a:off x="9134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554D6603-76C5-4A31-8DA4-61C4C690D3C5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21D06BBE-E2B7-4783-805B-AB7B03551329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77417889-7D71-4CBD-9CCA-4F876BEA0099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57D82FB3-29A4-4F51-958D-C726CC928272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F6D2336A-225D-4F34-8F4A-F805BCE474E1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EC958EFD-652D-40C1-AFE4-B6909F330380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34C63D42-0F50-459C-AC7C-CB384C894073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2C2A54CE-DE44-47F7-826A-42B4CCF9DFE7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48332A0A-3DA3-4001-8CA3-C5B21F6F3C81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3D00D15D-A5C3-4B1A-8036-2396F06F6A5F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4E80A791-2694-47D2-A1E6-B682B80151AC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2B010185-FD34-408F-90D4-037DC40B90C5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F4FA8528-BC70-4C00-8A65-6609CA6C9155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DA143496-4745-4351-B8D5-C9FE393EB9B0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72CF80A3-2EE9-4084-81F1-ADCED8211F9D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55CBB930-2F51-43B5-A5DA-796F793F1C6F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2D3DC53-AE99-48D9-9019-890203243A0C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88A258CC-C812-43C7-83AE-0D0211629772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28B37420-C8F1-4E1A-8827-77E4492F2404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2261010C-485F-4D7A-8FBC-E14288D24819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D502A595-CAAE-41A8-9D18-7DF0172453C6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FE704DDE-B436-4CC1-9A2F-EA6485049085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E06777A4-4CCF-4E0D-90DD-ABC0E4AC403F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67E89B77-EEC4-4403-8BC2-E02B39AAB1D8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53D19FC2-03E4-406B-9397-D78CC79D441A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7C6FFBE6-9667-4868-A699-8FF20723D7D0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5B2E7A55-093A-41AF-AAC2-74B78BDE572B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EC7A7097-388E-430B-AEE6-7257CA1F4281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FC56E455-0280-4B20-AADE-D7E2E84D513A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13DC9887-A03E-479E-8A22-F44C6B23ECBB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588FC365-35AC-4200-A584-A4438D3C59DE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85228DCE-DC9D-438B-B574-2669FB8F9E6B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5C2F01A0-F4B8-4AA4-93EB-0E37BFB0485A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AF759281-68D0-4FD3-8AB5-CEE9BFA47B19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CC2F7EE2-65AD-4139-8BD2-C8C33D288322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A04B0D34-9117-4375-9E58-923BBE455E71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2AB9E72B-5084-4DBF-8A23-B79D46287DEE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23B478E5-80C2-4078-BA35-4A390B1E48C7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6F792A01-42B0-4396-AF6A-A4128B1583C2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CA4DAE12-6C0B-44EF-9FE3-E4AAFA1460CF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2E5C181A-8D7C-43D9-83B7-9817A99F11A9}"/>
            </a:ext>
          </a:extLst>
        </xdr:cNvPr>
        <xdr:cNvSpPr txBox="1"/>
      </xdr:nvSpPr>
      <xdr:spPr>
        <a:xfrm>
          <a:off x="9134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A9CDFD87-4331-473B-9AA5-B183EAA1CD41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203A7055-EE49-4E65-8572-3357DB2CA217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4D4B11B4-4EF4-467E-99C0-BBE7F0082272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B36E6C9-6407-4779-AD8C-2F8BF2C3C42F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2B0AD967-779A-4D43-8FFA-2ADBA1CE728E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BE684044-4CBD-42E7-872B-55F54CF48F87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26A0645C-249C-4488-8A0C-61899402D800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E4AE9999-DE92-4C09-8D42-F1D547CA4FD9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25D1A289-C8BE-4D71-A14D-C63BD9CE324A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D88AC54C-E0D0-43F1-BA53-94CACE460733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C0BC2A6A-2F02-48C0-A8AD-7064A3C0390C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A76FF645-A596-402F-839E-10FEDCEA57D1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201DA741-BA14-47E4-B090-7B7661C9FF63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97845E51-630D-4399-86B1-9B3B7544476F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F0C4E0FD-CD58-49BC-9ECD-F1AA0D45DB61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88A8B863-2CEA-47B4-A09B-F4BFECBE9652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D33BFDA1-FAE4-448E-9C49-D2C505460593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F276B58E-185C-4100-B636-32414592200A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BD5AF874-4E3A-4E5D-AFD1-0BBB0454CBEF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9B7D85C1-D56E-4845-B364-A6D3A6A45E8F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760EBD0B-64AD-43DD-86CC-85EA77C0B3DB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DB93EC2A-8287-41B2-8A10-A04A878A072D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274F3609-C36E-4F4E-9878-2E20E13D3683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D18077CD-2245-4888-8F7D-B125B99DA763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61F495B-AC3A-49F7-B2AD-0B4033B6FB37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F8A285D8-BF0A-4E69-B561-9F3CCBB8CEB9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DA6E618E-0788-4CB4-8606-BE5A56D84C31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15773538-A4BD-4E27-BB28-1EC3B79FBBFA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52F301B1-E6D5-456D-B807-6D54584411F4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D8C8537-BCFE-4D2D-A73D-53DDE4D2D969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F0CB295B-CA1D-4D67-986D-B42D4E95ED93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FDCC8976-E573-4089-B791-CECD4874F2E1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B4A78B12-5130-43AF-ADE8-5F4691B006B6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9DE69586-D916-4367-AF2C-CB69403DA3E1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7027B295-20EF-4EB2-A078-2222C3EF6CF6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A53D3304-3412-47ED-A3A0-EFC24D1F0C56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3186ED69-5C42-4E04-B493-BF6046A5CAD7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93719049-D5D4-4A8B-9DCD-6C9448126AE8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163A3A71-038C-49C0-A89B-A93B28A24607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1FD880FF-2DD5-426C-9D34-45C0553DF95A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D928C418-5DB1-4F7A-90D4-4A2225455D24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49E6FFB3-ACE9-45C9-8383-47E1FB441C3F}"/>
            </a:ext>
          </a:extLst>
        </xdr:cNvPr>
        <xdr:cNvSpPr txBox="1"/>
      </xdr:nvSpPr>
      <xdr:spPr>
        <a:xfrm>
          <a:off x="10353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DFAA2B72-B3B4-4E5C-90DF-AB72770784DF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AE9540DC-E895-4064-809A-988EF7471614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F6D29DB0-D182-42EA-BD78-E3C1CEA4F65B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E497D33E-C33C-42F3-8C57-EBAE49B3603B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3F2298F6-8F10-4D7F-B857-A9CFD93CB2E2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5C07F614-82EF-4719-9151-4A8D59B7A6E5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3678B08F-D0CE-4350-A9E4-C4BA4E60EC72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4108B2EA-F5BC-46ED-801A-C47B4BC11D74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5524409E-19F4-4DC2-ABBE-B808E51BB806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A9D79060-1E58-4A4C-A6D3-80CCDE3A2A1D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DF0C488A-02DF-4D61-8A45-A1FD56D053CC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EA0AC679-F5F8-4724-81F0-E2A0B9D66966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60F94C63-71FD-4282-9489-C81AC052D1FB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C81F6DA7-11E1-424B-8871-F2C36796E9B6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1EEBF325-7B7F-471D-AC4B-BC60D166FAA9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CD6B1619-DBCB-4022-82C0-9F40B18C464D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CDF513A1-C1BE-4AE2-8295-C86641767C83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8EB46521-0228-4704-8BBC-AB8D35DCC61C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680CB2EF-773F-47E7-8BF9-4F568D17EA40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393F36AD-9215-42D5-BE9E-667116D41C3D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91BA9F5A-722E-452B-96BB-5F329FC819AD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D5894B78-E95A-4ED0-B296-295989BA2B73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DACDF822-CA8E-42E6-AFDC-28BA92D04D3E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2776E39E-10E5-4625-A456-B65ADCEBF83C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EF18589F-F632-41D9-9490-AB51F7A226C1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7E1AD760-08A1-4219-9107-8A8C9FEE34B3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C0A44B5F-93EF-4BFD-859E-91EE997D5C87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180F741-4CDB-40C5-A608-36B463BDA201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9C05716C-C734-4E53-B69B-566567F73BB9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2A802429-D53C-4E93-8B8C-94ACBF6BE3F9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223FB827-96EF-4CBD-A18C-2848A79E4BD8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75321DB0-AB6C-447A-9836-77DC09AB101A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434BD7B-3F30-498D-90C1-E199DDA72542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27E9A1DD-1562-45EB-8312-7665AD07F694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699792B-A030-4E38-8B11-BA8DCE0F0FB1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974F13E5-6F3B-4356-9751-B9A497822EBD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D112544D-A108-410B-8B4C-4F17795E60A5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70A5E01E-6E02-40BF-8678-4FEFD363D597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E06BC4C0-342E-4605-BF69-EEBB7DDFAB54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FDAF806A-5F34-4FDE-872C-2C0A05C639BE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16</xdr:col>
      <xdr:colOff>0</xdr:colOff>
      <xdr:row>3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5063C537-AB1D-4A0C-819A-F85B8F80AD2A}"/>
            </a:ext>
          </a:extLst>
        </xdr:cNvPr>
        <xdr:cNvSpPr txBox="1"/>
      </xdr:nvSpPr>
      <xdr:spPr>
        <a:xfrm>
          <a:off x="10353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B76C93AA-6C4A-4F46-AEF9-B43EBF645B0A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FDCDDE3D-01DF-44C4-8B63-0046EBA19901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280C83A0-1D64-4B10-BE26-0D3DABB30A68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D25CE503-6E0B-4A87-9586-4F70778FBBD4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9153BCFD-10F3-4B75-A999-402D6C41E17C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3922F05E-D273-40AD-811D-556DE70B2841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D11066A8-551C-4DCE-8D7F-8B5EFB847CE0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C2336E90-790F-4DA5-8FEB-F127E85FE46E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412596A5-FFDE-482B-97BE-62F81BA9464E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1AD810-FC83-4CBA-8C5B-3CF492014C26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35FBBFF4-251A-4BE2-B360-82C7A39A003E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55329C0C-F192-4363-BE26-DF63F815BAE9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B45C7FAB-4AD3-4BA3-BA16-C41EFD79B7F1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AC9DAFFA-5EFE-4834-9DC0-2ACD66DD4600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F97EC3F4-9F8B-4EE0-81E7-C47DDC2BE109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B9F7DC61-9069-49D8-AE74-A5F4B165417A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AB1A2D20-590C-425C-BC82-D54DA6FEF99F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C58EA3F3-8327-41E4-AD75-A07945A6ABD0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32456F2C-13C4-42DA-90BC-7FE560F71EE3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2626988A-C047-45CE-ABA5-8177979BB98E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2DAAB21E-B783-4C77-BEDA-E8BCA97C2F51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96CCCAC4-D6A9-4B1D-B3B8-306FB9AB11A4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950CD27D-ADF0-4644-8BE8-5CAA5758C5DC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65457C97-2D50-4985-BB42-54B7D871A27E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AD8FE1C3-66AB-43AA-990C-E90BCBE9F232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8C4A9778-BF68-4D59-8F8B-59872EE83271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3B218777-6326-46E6-AFCC-EBC7390B8AB0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1550B0C9-7201-4A4F-8B27-94483700DD54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6B6C0CD1-8CC5-4FAB-8A54-7F7848FEC0DD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47A07E16-2163-41C4-848D-29F014D0B83F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D85D9EA6-C274-4CBD-B1C1-5C7D4E2D77D9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38E81056-0306-4FDE-9630-D7AEA6510877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D85621E1-6DF5-497B-B2DA-58E2DA2C5C2A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CE50B536-813F-4C31-9C81-D4C720D59105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A7402504-1718-42C0-8ECD-FA45F74D7941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C732D000-4141-4AE6-8CA3-7EBC29CE2607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AE8C4E5C-A1C7-493B-86BB-9574052783DA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12CA312C-6536-4A2E-B4C6-6609036F46E4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E1C7FD3F-A800-4240-BBF6-1841FE8E8478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515E47A7-51E3-4102-A1B3-84A84FF72DEF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47A6BED0-7BE4-492E-BE34-9109CF5531BE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C26151DA-A2E4-45B4-8672-E95931582A3E}"/>
            </a:ext>
          </a:extLst>
        </xdr:cNvPr>
        <xdr:cNvSpPr txBox="1"/>
      </xdr:nvSpPr>
      <xdr:spPr>
        <a:xfrm>
          <a:off x="11572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62B9CEDE-A60A-49CF-9A25-8E7C7C805BE9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84A3A668-0CCC-4921-8B25-70D9D592E559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4B316998-5061-41BB-BCD6-5846ADD9D954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4C7B6826-B833-4DAA-8B57-AF008D0A24C4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E7870EA8-E035-4B67-B71E-A6C8D4968B4E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AE432ADA-81DD-4091-BC15-9E66DA61C232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8231569B-BE13-446C-83DA-919BDFC59A61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485EA4C0-3570-4F70-B56B-5E312687A149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479025AA-1015-492D-9AAD-AA6B9558FC60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2FF6F8FB-59C2-4994-A0C2-F9B74EFF3671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6D2F0ABA-5E7C-46AD-AA04-9EC6F676A115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40268BD3-A649-4664-84E4-AE2F6B9211B3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3B8E5FF5-7D92-4724-827B-DA6C2403FCAB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39582FEA-6A88-47C8-88CC-9A03614AD414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E5F0B43A-3CD5-4860-AFEA-5FD41EF45E02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9664A90E-01CA-4420-9F07-3A139ED91454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DCB42B2B-A458-4FE6-9A0A-315C6D3A0E19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11A592B0-D4A5-4225-87D6-3DC7228AF770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F88BB641-E05C-49E3-A98B-0D7841000218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1F9377C7-AE2C-4F25-8F90-55290DE04EC4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A40404E0-2AA8-4ED2-82C2-5E69F111D7EB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31E916FD-305A-430E-AA8B-B72B58B09BEE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A9DD93F9-4F7C-4456-A4FB-186CB4EF01AD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E989691A-59BD-4D86-BAAB-63BCB267B44D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951D699C-1A50-40C9-9F74-25BEC204926E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EF586ED0-674D-4943-9E22-F4AF3E9DA6C4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D73D35F6-D235-4320-B188-C6F7BA81C399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EB162080-3924-452A-B020-9C354D498AE2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501C5D5C-5DAC-4273-9AB0-F13EA07ACC49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C7F98CB6-0E93-4088-A755-C2175A6675DA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2ABB3FC9-C1EE-4004-A657-7DE59343B271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A986BFCC-BB8A-4622-95C9-6E4C0E6C417D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09463DCE-24CC-4588-A5B6-5B23DFE9C754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BA66D792-5A84-4EDD-B1F7-F94419ABD11B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1B34E626-2CE6-4F32-A940-C15A03E74FA7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61E9F18E-DAC2-4FD6-AC72-435359F5C256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E9FCB3FC-883D-4FF4-8ADB-04F0EB73C089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0FC8200F-2A4C-433F-A906-3DD7B7F210D1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08B5B1AB-4193-4D91-B629-49B5D7B49147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9AF7C5DA-F675-466E-9A6F-C561BFF153D4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21BFA2E2-7DBB-4597-9FFA-B14E44F1BF24}"/>
            </a:ext>
          </a:extLst>
        </xdr:cNvPr>
        <xdr:cNvSpPr txBox="1"/>
      </xdr:nvSpPr>
      <xdr:spPr>
        <a:xfrm>
          <a:off x="11572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21CDB3CB-8117-453F-BBDD-5CDDDCDAF373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65AE9D12-CF03-4A53-856F-2C38E7722E1D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8CDB6D24-0F75-42A5-BDAC-D412C7E71BEE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F060DADE-BA8D-484F-95D0-34BC401DF0FF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D832C65C-A061-439D-846F-F82EDEF53922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B192DF2F-E19C-4DA8-98E6-8CB4C527C6D2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CBD39BC8-4B95-4324-B43A-83EECAF1DB95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D8431C8D-DC29-41C3-8005-1698E34F74F6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1842CADE-A182-48E7-B5F4-EFF431091A4A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CCDD6D6E-B0EB-4DC0-AB77-745D474EB440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523ADDC4-C142-43EC-B4B1-C30CA85CEF1E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CCDDBAAD-60A5-46B1-A55F-50DCDB17B97A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B1DCFB00-7D73-43FD-9480-61FE9D4CA3E4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6ECB79B6-A998-4A97-B614-A572E5F1F3E2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F300621C-F89E-4C2E-9EF8-CFC996BC7388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ADFD9591-BD6B-41C8-8CD3-AF2ED43E7D40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4A541651-46FA-4FD0-AE4B-45EC8C6581A7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7D4BD5AF-D3FA-4852-AA50-ACE50A1D29BD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B103BD01-B63C-436B-8DC5-94D8384F2C0D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B001F07C-10B5-434E-89BD-FA4B6680EBD3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C82C0628-CD94-4335-A7C7-77E86E16A35D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C2CA7A89-A9AE-4D92-8D42-41B70BD0B03C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B6AEB18B-E0A1-4717-B7F5-FAC0DA3A31D3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45273E84-36F1-4BD2-94CA-4F462B602DE8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CD8264FE-6DC4-4199-BBCD-9DF668901D45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EB01739A-2A10-4DD7-903D-064291B401BA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3B1993C3-13F6-4D2A-AD3A-CB5F1D6777CE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534FB599-5E0E-4EEB-8569-7E8C7379CBC1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6A4E8BBE-774B-4D5F-9301-F1571127D0A5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B385851D-5502-4FAB-9745-3E3F9E9F5E74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F6D1C480-8BD5-484B-BDA2-03A10DE3FA62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C334773A-DC39-4901-93C1-7AF55ACCA1E6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E51EED51-71D0-480F-B1F6-BE4559CA8426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B102EA29-F718-4957-B18D-83FC52CB9D59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8EBF328A-9011-40FE-AC93-347B88EF3B9B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DC4BD3D1-5EDC-4B92-AD63-0EF7FFF24A2D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450D9527-1454-47D9-9D15-53FD6118C7D8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27607E2D-3DE7-402F-90A0-28AF26F933E2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1EE58A6B-DFCD-491A-A9FA-9B0B001DDAD7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4D692593-246E-43F1-BBE2-BABF9A84DBC8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5989612E-8416-4F6F-A31D-6AB36ADEC695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D75C48FF-9384-41E4-B93A-5EB786E503C1}"/>
            </a:ext>
          </a:extLst>
        </xdr:cNvPr>
        <xdr:cNvSpPr txBox="1"/>
      </xdr:nvSpPr>
      <xdr:spPr>
        <a:xfrm>
          <a:off x="12792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5004EDEA-3B29-452A-96BA-0B9ABBF1DFF8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81255124-5893-4232-A123-D797E78E46C2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55235133-7CEA-4519-8762-DCCD60BA0488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EDC5B3FF-2F9D-4BA7-A601-C7AEAEA5A6E4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419D2285-F49E-46DB-845F-170172934A0E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3A640369-E2B5-4592-A2C4-E316B36F7891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7CBCF302-F233-4F1C-9EF1-FBAA39F983B1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92099AD5-494C-426B-8550-B86FEFA8B0DE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01F66F3D-11DF-4C94-9806-109120E903FD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3E77ACA3-9558-4360-85C0-CDF7D57CB480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FF5FFB58-88D0-4EF8-B0ED-C38FECE0B2C4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2F0B4936-C024-4428-9ABA-FEED4D6F736B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7F16E428-5BD9-4144-989C-CDFC74EB703A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59BDF38D-7678-4336-8EAE-2FAE580CDE19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CDC9C0E1-12B6-4CF1-AE5A-2DADD55B4FB4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BFA2E200-4D5B-4E44-9879-2119D1BF1D51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98B6C1D5-5495-481C-95DA-63E0EC035BAA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EA90E939-250C-4C64-BF27-CDAA93C17F00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3C1C247C-871C-4950-B894-4050C4A25F74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55BF262E-B186-4A8A-8001-AD8451003F52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7EFE9509-A240-4337-875E-C5FDF38C65A1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D674E879-519C-4C93-9204-32E59F9E6593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2CD00C43-D3ED-4891-9CB3-10EB01127939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0991E632-4DDB-47E3-B78A-B12AE10798D5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A5687BB5-AD91-40E6-AFCC-4025E1FA2714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7F4502E2-389E-44D8-AC56-8206EB302FDF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33583231-0A2A-43C5-9A53-585641EEDEDA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EFC92821-04DE-41F0-A62E-42EA9BDF5C72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301758C1-4FC2-4E97-B005-55865033FA39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2481ECD4-BC2E-46D9-A7A3-59AFC8A7D2EA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3052B2DE-D294-4D49-B457-44108DAC031C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913136C8-53F5-475F-A40A-D9E20DC7525D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CAF53276-92A1-49A3-A88B-33F57AEEAE57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E9990DA7-D4F2-48D7-BD6B-497F693C6A33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5AC161C7-E2D8-4807-9830-0B82EF1BD16C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BE2A535D-C990-45CA-86CE-E45B95200D28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0F50D9F7-FE62-42A8-844C-CA809C0210B4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C22A178B-7ED1-4669-A701-BEAE206B6D0A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2FEA6C29-6299-4487-8FEE-93B5B7B5489B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CBF8E46B-9538-4298-BA11-B6EC0D2CFE9F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20</xdr:col>
      <xdr:colOff>0</xdr:colOff>
      <xdr:row>3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5FE995C4-179A-4278-B0B5-47C4C1754D2A}"/>
            </a:ext>
          </a:extLst>
        </xdr:cNvPr>
        <xdr:cNvSpPr txBox="1"/>
      </xdr:nvSpPr>
      <xdr:spPr>
        <a:xfrm>
          <a:off x="12792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1C6B737E-62B9-4D83-B079-9BD4134DC150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17DE33D0-636B-4D62-A500-0E259134BFAB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7130970F-1ACF-4511-B4B0-2EE4601B7B34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5A05A006-DC86-476D-9D1C-299CF395293C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25DAB200-BD9E-4CDF-9685-22DDE10249FF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282E9B65-236B-4EF5-825E-6D3B065C19BC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162516F8-588D-49F9-8D1E-E5A97667128E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03823CA7-30B4-4901-BC37-076A5F944836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FF13B074-9677-49E6-B859-E07072A458BA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1E980D9A-FA5B-4F5C-B986-0520D24755AA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67F4A22C-0691-469D-98F0-3A7420B2BCD4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880716BA-5620-4B27-9AED-1F48365DF2CB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264ADE8E-175D-472E-AD38-1C944CBDD8FF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6AA3A340-1A3E-437C-9D38-D85245C6F2A0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0D46AC7F-334E-40F4-AC90-5E0898C1286B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787227A9-E330-4F27-8B2E-0F163EB63C26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BD57CB56-DF63-4A58-9863-56805DC7FE36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D47CA35B-7259-4708-8FEC-8CE2D1C30D39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54D1BC03-2F46-4B22-BD6F-8FFBB3B2398A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376BDC1A-58AC-448E-82AA-00692EDB5BE4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2C96646B-0C15-400B-AA8A-8166064AD27E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64B9FCDC-6180-4D9D-A9AA-A3B67CA37500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D99B7F4D-1615-49BD-AEFE-810E3F72ED5E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34521CD4-11EA-4575-9776-3CC772DABC37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B906CC78-6BDE-46D0-9281-A806E42299A1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6CDB4E47-65F9-4F09-A7D2-82C005FC3478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95CD8E6F-7BCE-48FE-9050-474344B82DF9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5573B6BF-7157-4AEA-9289-E3D7F2472903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534DF10A-B31C-48D5-A9F4-D32CCED83C96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6A3D0CB5-F534-4D47-BB86-ED970C3A9BAC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6E0D80B5-2396-401B-9E62-452A2945B4E2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043C940D-C6C6-4833-90D8-F985BEEFCF0C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56A5C29D-95E5-45D0-9EFB-139845948EC2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D0050BD6-B186-45CF-A287-5187F3B93F66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BDB8FF82-91A1-4B2A-A74F-12E5374B1845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904F7157-C766-4386-8BB7-522FCC7CA0F5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9139987F-D51B-457D-8733-FA2AAE1CE489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984DFD4F-0756-44F3-80A1-1EA4D66DB14A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0B80C88F-4446-4938-B289-13E41F213E47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741DE9F7-6EE2-473B-8BEF-E6623FCD6EF7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8702A60B-ACC8-4B8E-9BC2-133DE46779B7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21</xdr:col>
      <xdr:colOff>0</xdr:colOff>
      <xdr:row>2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FA0C01D1-74E6-4BF5-B949-1015959D60E1}"/>
            </a:ext>
          </a:extLst>
        </xdr:cNvPr>
        <xdr:cNvSpPr txBox="1"/>
      </xdr:nvSpPr>
      <xdr:spPr>
        <a:xfrm>
          <a:off x="14011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2991A0BE-5DAE-4773-82D8-C68A0BAFFA0F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27FAB26F-9438-45D2-ABF3-A3936AD3A9FB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098CB2CE-F2B8-4577-B5E7-B64F011D0F10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A7CEFDA6-6843-4CEC-AD71-3B249B527A95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C855B42-2A7C-4D2C-9FC4-C13E09526273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2B63ACD0-9B7A-40FB-AC33-CFB15D32EB14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6E8D6FB3-FBFE-40F5-A409-BE1778DC7247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3FDBF908-3EAF-4518-851F-84D98A5CAFE1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456E6DAB-8713-491A-BBD4-FD1B94C21D24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D63B50DF-C622-4AC7-9ADC-6B7BD4169901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3C5B0D67-8DA5-4C4D-BC50-DF80C46E96CE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AEE36810-8B26-452F-9C02-B09769AA1348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22B587B8-1BD6-4AFF-95EF-107B286C160E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F5B37026-DCFC-46AA-BD70-A7FAFE439480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D8990EBD-C46A-4F9D-9446-8BC9077CDB3F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D5850662-A8A8-434A-94F7-FC2E6466720E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2C85D074-955E-46AC-88F8-150EA51B6122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7692A4B7-047D-4E02-B8C5-883F5332DEBB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6033E8B5-C0E7-4C88-ADA1-FF989BC527B2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7BBD2DB8-8EC7-488A-9F37-FDCBCA61703B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ED4E53D9-17F7-4F5C-8A8D-AF3F40C4ED38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3E0FB2C1-8F85-44F5-8D86-C49767A7792B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C696D8BC-DA8F-4140-A0EC-E070FAF03800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B0EA7753-A0C7-431D-B21F-03508CE45B06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4397D9EF-5ED0-4D35-8B52-3E688A44B7F6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68E88787-99A9-4C99-A3DC-E3CAA1FEDC47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D069AC0F-E4E0-4BE5-98ED-335F05BDC2CE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6236D3D1-1632-4DA3-9A49-2DBC8CD914F6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44939A06-BE14-4B61-B01F-91D3B9E799D4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702D669D-BE08-476D-ACEB-6AE518542DA8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4FE1A964-72D2-47D6-8159-D3E18D12B1F3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F633CFA1-068F-437E-BE19-B08C58E40FE2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1DDA5478-9FC6-4731-B031-C1E1D1B0C97C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6D427215-64FB-4153-A78E-7521F91F05EC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97826F1F-1A0A-4BB2-8908-1F8943EE4D22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60086E79-D570-48EC-9193-D1AA461C5498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ECB8048C-0CBD-4EE6-BA9B-B421414348C5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7BD38F48-CE59-4D01-A948-F933A96C89E1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CDAD6A1E-19FE-4BBB-8DA1-00895D6C91A9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E9E0B5EC-5996-4425-9325-18F537D7CA9A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22</xdr:col>
      <xdr:colOff>0</xdr:colOff>
      <xdr:row>3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407F7DBF-9E8A-4C7B-A293-708E26FD3099}"/>
            </a:ext>
          </a:extLst>
        </xdr:cNvPr>
        <xdr:cNvSpPr txBox="1"/>
      </xdr:nvSpPr>
      <xdr:spPr>
        <a:xfrm>
          <a:off x="14011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A262D7B1-7468-4364-9C0D-C51C766C42D0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8B9EE6D7-7F11-404D-B33D-D1A3F6D8D74F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FA77D3C8-B167-4FC3-AFF1-6981D37FF048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2E6504DD-E808-41A8-8D9D-1C7786F4ABA4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C9DB83C1-88DA-4097-A2C3-12CDF539D740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4995044B-D556-4A0A-AE88-953DE68EA872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F1CC492B-0886-4ACE-959E-A8EF832B69F2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F347741B-B93F-467B-BFCD-FCA58B2FEF25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1456DE96-1F18-4F88-BE14-70DADE9AA26A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3D1C33F7-5934-4A91-9081-BD7DABAF8C90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1539EC23-5D2D-4B24-8C8C-F4D56BE523FD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C0EC672C-3E6C-42F6-A377-64DF3B0463B5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42E43E09-71C2-40F1-933C-35DF02AFDFB2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7EBB7E23-C4C6-48CD-B6B2-2CE8358FB2B8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A42D5022-BBDD-4C7B-BD5B-3D36AAA05431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0D703FF1-8C09-43E4-9065-16880C2645D4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E2F34C67-9A83-49BB-BCBD-7B6DB134AA2F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ADF4D151-9F24-48B7-8338-592C351C1D70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301CEF85-F242-46CB-9C82-AB185D9FB6DC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41B87DFF-E22C-4E81-B0C0-428C8778FF64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DF6837A0-42DE-4DB5-880D-B560B6A80992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8999EDC0-81A5-4FE2-AA9B-513F47C7A817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99686844-1781-45EE-B130-D4A58E42FEB6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E8DBA2D1-2233-4C68-922F-D6BCE65124F5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F752472D-1CD4-4A11-BAD9-AC51C0C5D960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309DF461-C880-4657-B2B8-D2E54B525079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41A7FD9B-3EA4-47D1-9586-28EC7E15E808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C802F600-F8A2-4727-B4FD-BAE19F9C1658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5D52F253-AE1B-448A-B1D6-C91CEC91D6C5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22D387BE-60A4-4CCF-AFD6-C7FAA14C884E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0CB1AE9F-01D4-45E5-B73C-B53B712B90C5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EA6A1685-37C4-40BD-9705-35B499E34B5A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F67582AB-DC3C-495B-8C64-2D65875A951B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972A2F17-1CE6-4D37-854F-BF53EB1A2DC4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300508EA-960B-429D-AD17-4C8E05739319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94266ACC-76ED-4C2C-856E-2E05E6B3A2D7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C5CCFCE8-1C57-40D1-999E-1B6602B08F66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54A3FC3D-40AF-490F-A85F-299C2BFDD87A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7F1FCEAC-95CF-4738-8DB1-1CA276011B1C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AC57F495-D918-410C-A5AC-F4A34E1AAE0E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9683A369-C72C-446C-A52E-C243717A6163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23</xdr:col>
      <xdr:colOff>0</xdr:colOff>
      <xdr:row>2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0AB65C37-5F9D-4F91-902B-6F3F550299BA}"/>
            </a:ext>
          </a:extLst>
        </xdr:cNvPr>
        <xdr:cNvSpPr txBox="1"/>
      </xdr:nvSpPr>
      <xdr:spPr>
        <a:xfrm>
          <a:off x="15230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EE7E29C4-1A1C-4A8B-B938-0DCC53706C02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549CB94A-68FC-414A-B6A8-6496D75E816C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09F3B06B-586F-4B65-AD6A-8354615468BA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B8794712-DAA0-400B-B69C-2C729694FC62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09CA24A-0E0B-4B72-8D03-BE8A05F7B3BF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F9C0B07A-5B66-4B2D-8C86-33F080C4A595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78F090B1-92AE-4EA2-9550-C6B552E9BED3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A501BA77-5319-4143-B56F-25231A769649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EE9E5847-6694-40D7-9F29-1D516B920147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53C9D64A-70DA-4610-ACA5-8ADA5A1DD520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179BA14F-0424-4AB0-932D-0CC30C1B7357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222E6F9B-8291-4675-8455-320E490FAB35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2B8CA928-CBD3-47AB-A012-811A89352190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9E86E627-255F-4876-9FB3-47BD9C2117FC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2CEF1BF2-BE20-46DE-8180-E2AD1B90ACD0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3192433E-BCEB-40F3-9662-8A27D9A1A916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6933A2CC-ECD1-49BB-9514-B28BFCFEBE70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CA4C1281-7EA1-4F83-B6E3-905CEE22B095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46D80FAA-6A00-4690-A1DE-A2430340D016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2E9601F6-C776-4C19-92A6-CE302B6B7E8E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1B71AE0F-FE77-47C0-BA11-1ECB0A76C044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74829B9B-0FB1-49F6-BBD2-C580A2BEF159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BCE9741E-4D43-448D-8857-B599B6C38FA6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4AD66EFE-592F-497A-BE42-BA4F903DA14A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7642E574-CFD6-49D7-A646-8AFC25D56A89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7C131131-EBB9-4302-A9C2-BFBCDDED7A94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B23D8FFC-5123-4E3A-9AB7-4AE3CD8888C0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1A27DCC2-654A-4C9F-A0D6-CFD129EC2D2F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19EC1EAE-216F-4C93-B169-B1E9BC13A6C7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91933672-70CA-48C5-AFDF-EFAA68729720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6ABDFD5D-AFEC-4276-B448-F1D3EF4249DF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B1E3025D-DA98-4FBC-8BFB-4D690B218930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5E5F4EDC-E770-4390-B18B-D4384569E6D6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051F947C-0B93-4FAE-8362-94E2B6C459EB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6130D206-BD28-4230-B214-3FC7472E2DA7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5E9ADAB1-E24E-446E-9A30-416D17648388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1F8829C9-EC82-4C1F-94DB-90D245E3C1CC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27784AEC-696E-485E-969C-B8B53F5EDB72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BB998795-4499-4118-8DA8-A5D315D85CC3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51F38985-BE42-4C61-8221-23D303DCDCEE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0</xdr:colOff>
      <xdr:row>3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9A45D22A-E229-445B-88BD-AD93656BB62A}"/>
            </a:ext>
          </a:extLst>
        </xdr:cNvPr>
        <xdr:cNvSpPr txBox="1"/>
      </xdr:nvSpPr>
      <xdr:spPr>
        <a:xfrm>
          <a:off x="15230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69D6B14A-4ECB-46EB-9B07-44B51F5AE075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153D69FC-D0BE-4424-A100-FFDDD0C922EA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AFF3F117-1C22-4633-88CD-7890899E6E84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B0D91DDB-F0DF-4738-BA27-3C2C09D250C2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B457DCE8-A3A4-412B-8517-2278EF9E9714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E9BBAE82-F343-4AE6-B4A0-D4DBA8819BC5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F37EA513-1A3F-4117-B5BD-6D80F207A848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99C2D359-2C47-4A67-9A92-34C387F5D59D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BFD607D6-37FC-47F1-B137-445A0E684991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EB465EC5-479E-45AC-8F36-F23E1E5C42BA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77C6A811-A972-4775-9240-CD92866237F8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EB654728-ECF4-4601-813C-D41585A498D4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18FECDE1-93B4-4753-BD55-E4625CC70370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887AEF27-BD64-4850-A4F6-E99E7523299D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FB958301-A64D-4469-B089-C11D2850779F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D96D1093-25F5-4EB2-A5FA-97370554ABC3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FCDC8BC9-9DFC-4D45-9457-857F3112E210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E7378B4E-E7F6-4B09-8EA3-0CE227166AB9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9F85ACC5-EE8A-4A7B-9537-96F926598904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1E117F50-E419-4CF5-8F8D-6EC87F433FFA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8E8D05FD-FB6C-441C-AF57-AD6B33F363FC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0D6E0CAF-ADCA-488C-B3B7-AD25ECD60921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ECB5F608-22CE-4A80-AA38-149C6DA6F150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3A897ABD-8ADA-4EB4-9011-5C16296127DC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23D0BB9F-A650-49DF-AED8-21D14542FFC3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26C99B51-EAA5-4947-8F8B-E732F54E3051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ECDEF103-AB44-4CEF-A978-8901D93FAA75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DF9BDEBD-F07D-49FD-9BBB-43CA2B5FCDA7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26256371-32CF-4408-93D3-C9868D041DE7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E08D90BC-ACBD-4E93-9F92-3FB805431B69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A8FC7F32-9D4E-472F-BE6F-470043C34B52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9E26379C-DF4E-4E44-935B-8C6408E3CABD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46B2BC09-90B3-4CD3-BEC6-FFF4D0940D44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E357E545-EB03-407D-8002-04307F104278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028E92D6-3E22-484D-BDD1-3BCA483293CD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4329FB3E-96BE-454D-ABF6-18165F5922C9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8E42F28B-BDF8-46FE-802D-2C156512B789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3EE04026-4700-46DD-B860-B7F5C946FC37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98CA8DF7-7E72-49AD-94AA-BDF569F0FDD0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DD4EBF3E-54D9-496D-BB3A-18E61D47E288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EAD18151-F8F7-4AB1-9A97-78B18602E7A9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0</xdr:colOff>
      <xdr:row>2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D7B66541-6C01-4E25-B58F-5EFC1EBD8C01}"/>
            </a:ext>
          </a:extLst>
        </xdr:cNvPr>
        <xdr:cNvSpPr txBox="1"/>
      </xdr:nvSpPr>
      <xdr:spPr>
        <a:xfrm>
          <a:off x="16449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EF9A0626-5162-4769-9E31-B27B6A490F6F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52168E0A-BD5B-45C3-865C-945C033BF715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FD17C104-5B8C-4553-BC54-20DD4E4D2259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647DA8B0-7A99-4B0C-816E-125C2C77099D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422BD52B-C067-44DF-B386-B1D0D8FB9021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03D171BA-1078-4707-84F1-81099C50FF81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8E11F629-A4D0-4AD7-B49E-76A828851560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A837EA8A-6053-4E58-B51C-219745F08038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D4791D11-AE99-4F8D-A2D5-9DBA545DA4EB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4F773D84-129F-4EA9-98FE-17711B2E9E68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16036AFE-F1BD-41A2-AC71-B4F4D7B96B5E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09C543B9-ABA1-48F7-8A07-9B241A3596F1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D8D80ADB-AE10-4F7D-849E-274F3C482027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EA18F3BE-6F0E-497D-AD66-C01CF26693ED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84D1E710-6AFE-4404-8A2B-594CEC37CCA1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8E2457CD-7D25-419E-B4F6-EA4F34AF1B3C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94276E39-58A0-4A83-B4B0-F7849227E523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8A879CE6-5562-49C2-AE40-7B0FADC2F96F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99A1696D-A925-4246-A9AC-E7D254D38136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6ED5F280-F174-4FC6-B1A9-6F1EE23F5695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2AD8698F-E0C7-4D6B-BF02-23D70247E5DC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33A73C8B-61BC-4227-B031-74E3F984B1A2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CF16CE0B-B477-48F4-AC79-A9C7E20F0C6E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77090CBE-28D8-423A-9F67-4117E8910518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E8824B5E-AE9F-49D9-9EC3-8F0F4626C67B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D618E547-2D75-4D3B-94C8-DBE6EB21FD08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FBDE85D4-B239-463C-89F9-61A62DFC1954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3B115741-4D7E-43D6-8273-1F4D820F9252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C710A1AA-F7C9-45A0-8256-B49D3BD76927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C9128928-B3CE-4F57-85C1-A3ABD0A0EEB5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4C66C490-621E-4741-8613-7578511D3545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2323AC42-C715-49E0-8D2A-5E7E42DFAE6A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23050252-43E9-493B-BCB5-69B5498B7B72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41CF0B7A-CE0B-4292-9C19-AE251BDB7A77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E8B54879-5FB8-4749-8AA2-CE046CDECE4E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DB284237-3B8F-4109-9F7A-836F39EEBD20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A2130524-0EB5-44AA-94F0-AE3F1B2092F4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51141BE4-42E6-4754-81D4-DD17DD12C272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42D5D668-92B7-47F4-8173-FCC52E2D7433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05E507D6-5C70-4274-BA2C-E8429335BA7A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26</xdr:col>
      <xdr:colOff>0</xdr:colOff>
      <xdr:row>3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F5AE216E-4EF4-4995-9037-5DE5D6CA3A3D}"/>
            </a:ext>
          </a:extLst>
        </xdr:cNvPr>
        <xdr:cNvSpPr txBox="1"/>
      </xdr:nvSpPr>
      <xdr:spPr>
        <a:xfrm>
          <a:off x="16449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13E00ED7-7319-4FD9-AD1C-8F43750F5328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A9B60757-6B1A-4464-84CF-1EEA5230839E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670CE0F6-D34C-4ADB-B8FC-C6A45D6FAD3B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379407E9-30F9-4276-9ECE-50040480A8C4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77B10A60-CEFF-494D-AC28-6A1B2037E23A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A2E8E684-89DB-4939-BDC2-13AAE8568660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E9D04CF5-A8E9-4356-A4F0-60B6857FB7C5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2C4B9DFE-E38E-417F-B08C-77FC9C1A56FF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81450FA9-54BE-43E0-B528-ECF532067A8D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93283468-B2E0-4372-8356-2E76764DF406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FE1BFB37-A8A2-4E0A-8E68-4331C7A7DD4A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DDA8B60E-7392-4FB7-AB3B-70266090AE21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806BEF14-7104-4CBB-A983-CFBEA53A633F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D759668D-4889-48A1-B72C-C03CFB1ECCE4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4075A0E7-4CB4-4EDE-A8B6-709963749125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9B1D8EB4-D5D1-4D66-B8BE-78D86692BE5C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9D89D9F9-D0FA-401E-850F-2B25FB5441DB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B8C4BB3F-1758-44D5-B0DD-167B5BFAB1C2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EBE00CCA-BD94-4230-BEA9-8CE91836E8DE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31595F06-77D7-44ED-8AB3-1F46FD832691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315E62EF-C6A1-4A1A-8FC9-708173635B58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E7AB2743-1356-4CA0-BDEA-7CE7642D5DD6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9C072228-3837-4F67-9E47-BD0AE93B182E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20222FE1-9042-4951-B6EF-AA81AE4D90E4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A715D64A-F63D-48ED-B88E-A751DB88C707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4DCE203D-EB90-403B-9876-51BB6E0B9D06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6E1CD78D-9C32-4A51-9F26-060D7084C266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BFC311C0-D784-496A-A234-A6B2F85423C6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471E695D-AB68-4BC0-9062-8AE091039D47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9B9010EB-0645-429A-920E-1164F1177C4D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7A6CD82A-793C-42BA-9A78-98569A7DC300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8C97F063-6997-441A-A738-D9C602A03D09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4B555E33-C439-42BE-9D8B-47EE949229AD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7D51944D-44FF-429E-A898-332957F79B34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EFE8693B-81D5-485F-87EA-480026E726A8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F7846ABC-8ACB-436B-98BE-AF6A8BCDE00C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5F4C2AA3-1822-4241-8874-367D1CA56DA6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3B692916-5176-48F0-8A22-605DA783F70B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1B48B8B6-FA6F-473F-A179-A41F231991A9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B986DABC-DF01-4300-8453-7DC634009D81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C8AC5C97-9FE7-4A20-9A1D-7454B6493F6E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27</xdr:col>
      <xdr:colOff>0</xdr:colOff>
      <xdr:row>2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E0943B3C-B6E1-46BB-B3C3-5F9836312F84}"/>
            </a:ext>
          </a:extLst>
        </xdr:cNvPr>
        <xdr:cNvSpPr txBox="1"/>
      </xdr:nvSpPr>
      <xdr:spPr>
        <a:xfrm>
          <a:off x="17668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16033C94-0545-431A-941B-C55DBF747C5F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79009734-BA8A-4B8C-B5B3-8FD9E4F7A2A3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35A4DFC4-0214-4116-9343-C689FC02289F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B8560A56-2483-4B91-B7A4-C3B0DBCE0239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1E9D32EA-6A41-471D-9690-5757438B8893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FF392279-B77C-4301-9415-01A71227AD2F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8C2A7F3A-D773-4714-B764-2B20F5F2734B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78B51093-9BB6-48F4-9D47-90A873DF6671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7F84935B-8D17-47B5-B9E5-D0B017CC90CC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94F3CDBD-B064-4500-96A4-F7C3EC47B212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A9BC7625-2246-4613-A238-3824C3FA6E99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CB82BA22-0823-4774-8AB4-9749E85C2CE3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7CBB0606-F15C-4267-AB6D-9DA731A0CB63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28A429A9-AFA6-4632-B22D-A9810564F48C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714D40C0-1B2B-489A-B7FB-CD4807329FCA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AAFA9E69-0C78-4553-B543-B04673548CA9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3AC41E7C-7E01-44C0-B150-9E78F5F4C409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E20CD5D9-F9B2-4D6D-99FC-6C5EA09C23CF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C0932554-3169-4627-9C6C-B5889F4CE8EB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2BC7A248-AC41-4873-B227-C969D14D3DF9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13CC47E0-4B5D-4336-A652-0DF525DA47A4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DD74C5A1-6D48-416E-8D22-40BD8CC9F0DD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A363DC7E-CC69-4FCB-A964-B861BF8E752E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A4A06EE4-25C7-4147-AF7B-1AD09D86C3E3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6F6AA86C-C445-4CE1-AB97-04B312A5616A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95D3F181-4A6A-43EE-BD8F-799AC11FEFC3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6F1A4EBB-1880-4B50-BB16-1F3BA6CEB0EE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AEE16571-CF26-4B4F-A57F-C1CFE4D71CCA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E922DA5D-E61E-4ACC-97EB-F2EC248D4FE4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8997FE89-9B50-4101-B749-19F9BE0091B9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85A0BDA9-991A-45D7-8C29-A39EE517F7CC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9A5D952F-1C05-43C5-BE9B-8D11E9D81BF7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FB153B4A-48F8-4AD6-AB7D-F1FE8BD13F28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433D57E9-E5DA-4064-973B-9AC14F2FC303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7C5E87B4-0641-4135-9504-792AD067E416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201F91D7-6A29-4B9E-8E66-3F7C38B53C68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E0E80C65-A985-46DA-B8A1-6F94169C95BC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D073192E-A4EF-43FD-8BEC-809C26C8387C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6EB3B219-C39B-45C4-A1C0-51F9AFC2BEA7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3D71CCF0-BAE5-422E-BCDD-228FDB02E1DC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28</xdr:col>
      <xdr:colOff>0</xdr:colOff>
      <xdr:row>3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7FF8C147-3174-440A-ABFA-A7EC9446EBD0}"/>
            </a:ext>
          </a:extLst>
        </xdr:cNvPr>
        <xdr:cNvSpPr txBox="1"/>
      </xdr:nvSpPr>
      <xdr:spPr>
        <a:xfrm>
          <a:off x="17668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CD38F7FB-AE1C-4215-9958-97796E7E7673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D7D673B8-20D7-4102-81EF-A314E9AB4C7E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EDD106AD-2AFD-433E-9E11-09E100A5DFE9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82BF7D06-C3F7-4C84-813B-71141B29ADAF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9309D897-1867-4E6B-ABE8-2EB007F9E324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31D9F823-5CCB-4E27-B6FA-DCCC0E21C39C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D85FB8BA-5659-436C-8824-6521D87EAF51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607F5956-FBAB-439E-95C3-E3DFBA2D65D5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1E496426-9572-4F5C-BA84-1AD9D6EFCD42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D6DD2B2D-EC19-4E55-B87D-323739D6A217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1899D3AE-A62A-4816-BD13-D93B07FE2C50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BD265D9B-847F-4391-9DD0-3972242E8524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D2FDA2E9-458F-4A95-8158-BF37506F5094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D51B887A-663E-4857-99B7-DA1F34B65F5D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2724F2D4-C9DE-4188-A3DE-F724D45687A7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23672762-78D5-4F84-9C7A-BEC0CB7F90DD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E64E382E-AEF8-46E4-97B5-0DF7AF34F47E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741EF6AC-B7F1-461A-B329-3D77727124C5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D126E919-500D-4C07-B65F-8DD47CAAAB40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5D468F70-7E79-4866-8361-F1448056539C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00785841-A1C5-49FC-8271-566D523BC705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DACF5D9C-DE0F-45A4-BC5C-9804064E5501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7667EEE0-B369-4864-A4A1-F5CC5592F430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84E4EC98-6D5B-4B6F-9DC3-4955D632CECC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488E0791-3756-4354-B3C8-A180A78DB34E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C74C8154-7CD9-4D85-B130-377DDC884BDE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919D117E-3077-4DD8-9E5B-EA9A7646AAD0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4D58A0DD-B3D3-4EAC-80BF-80AA83A41FC5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654EDCB3-69C7-4DA3-9F08-19726BB678B1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1446FD51-4CA1-406E-B4F1-F1B66E968818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239629B3-C525-40D0-962A-095B29D4F0E9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AE114822-C137-4EFA-9C48-2F73F1974B7F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17F315A7-CF24-4F55-B356-2E5C2EB59493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57CE46C0-A05F-40CC-817E-91A1A6686216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CB481586-194C-4D1E-86EE-ABD8C55619C1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8D333698-7969-4E5F-A6A6-3E8C2D3BECBB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55591E8A-7922-4FF8-8122-BA6930321297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801C44C4-426A-4439-93DE-0B3D0917A832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0A2D5964-72C5-412F-88C9-C7DFF5CD65C4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737669AA-124A-4FF8-A369-73BF09FB69F1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697B4F69-BE25-4883-AA23-07EFFEF61591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29</xdr:col>
      <xdr:colOff>0</xdr:colOff>
      <xdr:row>2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C340607E-A72A-42FC-8564-2DFE77735C96}"/>
            </a:ext>
          </a:extLst>
        </xdr:cNvPr>
        <xdr:cNvSpPr txBox="1"/>
      </xdr:nvSpPr>
      <xdr:spPr>
        <a:xfrm>
          <a:off x="18888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11A1DB31-C47F-4127-9999-686814399D56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3E897133-7197-4F2E-B954-5080CABD24A8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7B1C67F1-5D53-482D-9D32-CA7F41FB0E8D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E40DF0A0-1834-48F4-820A-5207408DFCD3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8562BA7D-7368-45B8-AA0E-9EC95D7C3A9F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C5BF8C96-55EC-4B6D-9741-1E475A2D1445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56FCDFC1-C452-4416-93EA-66D7140A0173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A3CD7FD5-4192-46E6-9F99-578388B66D59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0EA41881-0A5F-4EF0-8534-C52E432DDFC0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2B88BC4E-F3F8-41DD-845A-66003D20BC58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55F9661C-E7F3-4D61-8C51-DD5ABFE7601E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B695D239-C982-43F0-A6B5-B2580B201874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2F53749A-9A80-48D9-BE8B-415CB8C37602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651D7B8D-6C09-4ABE-B6FD-2A2025FA9CB8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53A46783-BE9A-4E63-8242-033F528630C0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8D9CF9A2-9104-45C3-8740-23F2CD06E33F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25106197-62A0-4B39-AF33-E16245692142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66152AC8-EDA5-42FC-A7B2-A2C30FACC00D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6D8764A5-A84D-4D39-98B2-7331BB80D0EB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410D5485-87C5-4FAF-BA2D-86D20E975956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F7F63EC9-0AD6-436E-A7A0-1641BAB80B97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DB1360F5-DE03-47C3-9B46-6224867040A1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CB4F6357-E7B1-44D0-949B-4C0437B92CED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7EDF2954-3177-4D6D-B623-2BA329DF4840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EC9DBA0A-A4E2-42E7-82D8-AC0AB789BDB7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E075AAD7-2488-429F-A709-AB7882A35168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FA94F52E-CA80-4A3E-8F9A-91A019759995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AA964F32-D0AE-497D-A647-A70083269C4B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F6662FE8-25FD-4CCE-A227-6157A7800A2A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FA203205-450A-45F1-AE3C-CEF93EF03507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B88BD074-FF54-4FE7-BDAA-7B6838AEF453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AFFAB7FC-3CF8-4673-A01C-03C1BCE1A59B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AFEA71E1-12B7-4FB8-BDEE-E863A5752D1B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0B65A40D-CC85-4C73-AA44-E6538B996576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C851B803-2CA1-487E-BB2C-A9581714A19D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5E8D5D0B-31CD-4F0E-AA07-8728F8286D90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50AD85A-3CE6-469E-BB4D-7304B3668D02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CC215C6C-B4CB-463C-A3A7-EFC00A18E2D6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8BE7E5DF-3E74-42C6-8F28-CA03D701C5AB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EB978395-F312-4ABE-B096-D593E7EA80AE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30</xdr:col>
      <xdr:colOff>0</xdr:colOff>
      <xdr:row>3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E76AE65D-BBEF-4FDB-BA49-447011CDF1F2}"/>
            </a:ext>
          </a:extLst>
        </xdr:cNvPr>
        <xdr:cNvSpPr txBox="1"/>
      </xdr:nvSpPr>
      <xdr:spPr>
        <a:xfrm>
          <a:off x="18888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811CCC25-0860-454F-B395-4905FFAC5C13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1DFA8E4F-0562-41F4-991D-E4943660BA1E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E7A143FD-F950-4477-8260-09E4128A5CA2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DAF137DE-44AB-4A32-AFAC-7AC7663D5F67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92BEFDDA-B763-4F8F-B425-A9E7D2AA7713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9B50C4C6-4D69-4070-A25D-3EC232921CC1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9EDF2297-D7C4-4E4A-9C73-B990CEA4E141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C7677AEA-A36A-4AAA-9884-F6EB1DF200A6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52569948-C286-4ABE-86EE-997E7D6D9B51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2CD16A8E-4FB3-465E-9C86-265682EBDB3A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58AA6E29-4228-4DB3-B583-43B81A481651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36155152-7D58-4E56-8DAD-D212B050F82A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32E616AA-C823-44FB-8DC5-62647CC93AC5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238A3C23-A025-4B8F-9C15-AF8986CF5022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81694367-19A9-4487-9C82-87377ED1DC77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F4824ECA-BD11-4C60-AB6B-E8C043D7F6DC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07B82F33-A244-4A92-824D-BDB9254CAACC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B148F7F4-E2A3-4505-9554-3BEC0F727441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9AB3FCB9-F930-4AE4-842D-7FF913365B45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DE587609-5A05-4B8C-903F-2B50B2F4A224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3074FE1B-2754-4BAB-A977-013E1D1F359F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468D1438-D42F-489E-AC29-B4AF7A668663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E3E707DC-9D05-44D7-874E-D8E99A7096C7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DD132681-64A5-403C-912A-E89B27C5085E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A005238A-1CFC-43C6-BEDA-CC57BA6B2C1D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5B2508DA-C553-43F8-B7EC-8FDD025F369B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13DEBB19-AE83-4609-974B-0849A5D72853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EF252390-47F1-43C9-80B0-4286CABACFD4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CAA50205-187A-4D48-A452-14C960DD62C5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A6FCDC9F-CFEA-4E64-A979-542CF72BB280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6C7DDDDD-219F-46AE-BCF9-95D680E27158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0BC0B88F-C806-4A3E-AECC-F1CF405DDF6F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063363DC-6970-4B7F-96C9-BBB53E101699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9A9221A2-6735-4A15-8D3F-682DE4FC5A10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FE4F9198-8CD6-4C31-BD96-01F2617A8748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9BC1DBEF-B3DE-4AE2-A842-57A875C27B89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A8303FF9-2310-4A04-9317-9B29A907897E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01A3EA73-29CE-4240-BFFC-808CC373E81C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EFB154CC-5C78-498D-8D05-01D7F65317B5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97883FA0-3E3C-455E-AE23-99A2A070582A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85777B72-12CF-4017-95E4-5BA1C2E9C780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31</xdr:col>
      <xdr:colOff>0</xdr:colOff>
      <xdr:row>2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2DD1C119-24F7-45B8-A4E2-0C95DCA47CEC}"/>
            </a:ext>
          </a:extLst>
        </xdr:cNvPr>
        <xdr:cNvSpPr txBox="1"/>
      </xdr:nvSpPr>
      <xdr:spPr>
        <a:xfrm>
          <a:off x="20107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8DCB4CE2-67AD-4D5C-9475-194A8B1A3C5B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0715B464-A48A-4DDF-BF71-B61D2B7EEDBA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6E211B46-A9A3-4DC4-95B0-FC5C5B0B4777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A6C77DC0-C29E-4906-AA53-5E6C102F4516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B7354FBC-BB35-4A3F-8BDE-1F5ED7F4F00F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7C53EBF5-C511-4453-885F-245D37DA5C58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41426025-586B-46E3-997B-00EDD063F4BC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2DDFD126-7775-4930-9185-C59D4243E352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2917697C-E858-4859-A477-305D4927E6CD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3428C22A-CD75-4771-8812-62311C81FEE8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6056E948-1875-4A69-9C46-AFA1E8D4F89A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DDD3B477-C2EE-4CF9-811F-3D015B376B3B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0765B165-A2AD-4A8A-A875-23B422EEB777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D68D2371-BFE7-4BA5-9F42-97571A8BC71D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D51253BE-9838-4DD7-96CB-28800E3013DF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DCA5A0E1-2978-44B9-A2F4-59D3B02F07B7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74C3E955-FDF7-4179-8EA2-D288C75976A6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0B7B3593-FDF3-4C0E-95E9-71AC78907EE3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D60DE657-013F-4AB7-8238-70D03B0DCC5F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FDE1FB36-63A2-425B-A7EF-478B6CC8AD8D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C64D5C88-7CDA-469D-8CB4-652313FA8C19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2B1AFC69-3B3E-499B-A4FB-9B08FB3276EB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1C5487E0-E9CA-47C6-976D-2AFF7C7FD158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EB796291-2D9A-498D-B281-F354482FA93E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7FD9EBCE-A4B9-4157-8174-71F419C58ADF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105F3F9D-C5AD-41DB-95F0-A0A9438682B7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EE57FC82-C50F-4CCB-99CC-B5D717A032D8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DAEC521F-5503-4CD9-8C06-56C4A373124C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86265985-FF5B-4E90-8ED1-FB87EECABD2A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41001975-D40B-49F6-A434-82459A054774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FF9752F9-7057-47C0-B045-F815C2BE66C8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D0F9BF03-7411-48E1-9198-3B3D4CB92F0F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5C920612-3C4C-4993-A66B-41A9DCAED3E6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AE3EA5C1-2273-450C-A074-F7CE357C9B3D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BE8CE5FA-FB78-4624-A933-6D0D3FD0A988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1D8C26DF-E8B3-4E02-AF2C-8DB56D621C55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7AD90862-086D-42C4-9364-5F033B37E769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2930540E-1848-43B2-84E5-EBB826D404DB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B5755813-9E60-4836-897E-47F4F05089C7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9366576A-0AE5-4956-AFBB-F42A71EC9A6E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32</xdr:col>
      <xdr:colOff>0</xdr:colOff>
      <xdr:row>3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E7AF2EBD-CB49-4A56-941D-74143B8AF5BC}"/>
            </a:ext>
          </a:extLst>
        </xdr:cNvPr>
        <xdr:cNvSpPr txBox="1"/>
      </xdr:nvSpPr>
      <xdr:spPr>
        <a:xfrm>
          <a:off x="20107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A1F457A1-F9A7-4CC6-90DD-BFF5C55CC1B4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922741FA-8A7F-4DD9-B757-BB2D50E4123D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32C5FEDA-FCFE-4EDF-A6AF-8987D0A0BABE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3762C356-B90E-4F0F-83B6-3F6155BB9987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5ED35A3A-2CE8-42E5-8270-24CAAD05F71F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1662B8AC-00CE-4320-BE36-A34E00E9FF78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4147E03C-D7E7-491D-92AB-C0984E14C33B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A6C79193-B5B4-4080-B2ED-541B26F5C115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14A23F37-4D11-4725-A9AF-BDE6D9AE7FDA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91FEBDDB-E369-429B-8871-C9B5FF3EFBB0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45E235E6-E18F-48A4-8A1D-6CCE3E41334E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1DD82817-8CE7-462D-B7C2-68E2BEA730B3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91530164-1FD1-4FD4-A220-0726A1E15031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45A4567A-269C-4C0F-ACED-E8A16A8174C6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E3A26863-44F0-4CDD-9F00-55A8ACBF7BF6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AFC45347-0903-4EE2-8584-5DE3C7A91FD4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EFD570CF-DE80-4622-97AE-E9EB25B66CAD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19CA7373-EC75-420F-A485-3DA098AB446D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9E325BC4-2504-4CD7-B570-5756BFED2C44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3CF1ED78-C817-4B02-8DFF-B1051931B3AE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F8135188-A6B0-4AC2-87D7-5B6A524EBB66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76956032-EFDC-4E94-B2DC-A11EC2D3EB7F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3A2DC29B-7BD1-4E3B-8C6E-DE4CF9FE8F9F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7D4658D2-FC9C-4E17-A173-66A63003008F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CD519CF7-22C7-441F-9252-405BED7A912D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F2571415-BFC4-43CC-AB1C-3D3D03D4F46A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1135A94A-75FE-436F-AD81-B6022DE336A4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1C7C0011-39D1-4ED1-B2A0-29F176EF3B0B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AD249DAA-E491-489E-8480-649F2F17E8DA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72E833DE-E800-411C-9EF3-CD98C45FC24A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488EA0D1-EDF1-403F-B4BE-6DB0D7903DD3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C3272E1E-0B45-42AB-B969-2C8A71DC4741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6441C60F-6691-4EC5-9E49-4D4E3E5A20FD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B7381551-B4EA-4F69-8C8F-E51D5AE9C49B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147343AB-25F1-4519-9473-AD990B995A55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1ED0514A-CDE8-4DD3-85A8-0F83D7B9B9DF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BBABAD49-2C9A-4881-BCA5-BA31E8FD90C4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3E1A1770-3662-4738-84FF-D9292BF98B7E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8FDEE3DD-57DD-4B3E-8B19-622DECA636AB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A6762FD0-F7F3-46F2-96ED-294297DFD047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635C2D8F-5E8B-445B-8B8E-F263E1093876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33</xdr:col>
      <xdr:colOff>0</xdr:colOff>
      <xdr:row>2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BE480F1F-D9E7-49A2-A327-17273550F670}"/>
            </a:ext>
          </a:extLst>
        </xdr:cNvPr>
        <xdr:cNvSpPr txBox="1"/>
      </xdr:nvSpPr>
      <xdr:spPr>
        <a:xfrm>
          <a:off x="21326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56EAB3C5-748C-4FF2-A18E-D5EC18A2C1C0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ECE6D1E7-25D4-4400-BD43-E40CF090399E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8DADFCED-3420-499B-957B-E49817F9BCA3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605B0BC3-F35A-40CA-8B13-E41665DF6CD1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64A8A41F-E360-4565-BAD0-E1A78C26B6B3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0D4E044D-90F2-41B3-82D9-B8CC6751FD14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18944227-B7DE-4F9C-B264-DF7066C732CC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8FF75F1A-680C-4FA7-A9A6-517E8A16F0AF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63B89FCD-9E91-4D9C-ABE1-F0D3109D5B03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01B47DCA-CB4E-4315-B408-8D521D1DF9D7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264310B0-4276-445A-9B76-3F8FBDA07C50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22B9E077-BD5D-450E-90C4-9B830281FA20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9EF1FF51-C962-485F-A933-E750F1AD23CF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5E6C5A56-B2D6-4927-BE91-356648083941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5366862C-D2E3-4D72-BACD-A045A2D6ACC6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B81CCBDB-D59B-406A-8FA7-7C47EA151A4C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18D880E6-FBCE-4FD0-A856-A9904CACE1F9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62DF7980-0ED6-427E-AF71-579655789A00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C09C112C-C383-4929-BBAC-EAF18A5690E4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842C8E44-7D6D-478D-AEB2-B242399E4F81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C1F95E30-3DFC-4A68-B443-06168677DE92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3A1D5FED-31F7-48AC-BC42-46103B0B098B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8506E6F9-A02B-41EB-9200-1366A261F3CE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6713DC35-A867-4CE9-B14C-831BB8B2E448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DA1EA28E-F423-4047-9C47-640CFD732B7D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B8164E90-C703-4194-BFC8-BBDCD0C2E22D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1D143ECE-7CC4-4CD1-9C4A-1A452996E747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F1C6BB5F-28F2-4FA5-89AB-B55C7A38DEC4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228B56A9-989F-439B-A311-8B92BFA7EFA8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A4161C6C-DAC4-42B3-B03D-BC0A551EED44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B63CF40A-8388-43C8-96CE-8B5B0B7DF83B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53F355AD-A992-492D-A184-6642F0083DA7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EDA05E42-4EB5-4003-97D3-DDA5D7E18369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1A19D597-8DAD-4871-B411-57541698D422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47C97BFB-2E6F-482A-A3C5-0806A17D6C61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D965591A-98BF-46CF-944A-DC5567A871A2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8010E8B0-87E1-4192-B2CD-5FF966AAA51B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3A7F5A6E-A253-4C8E-BB72-3FC176F33CE3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65EE343B-DBE8-42FA-B1F1-BD0CCEB50C5C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7A040314-B5A9-452B-B994-5BDD96ADE010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34</xdr:col>
      <xdr:colOff>0</xdr:colOff>
      <xdr:row>3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FD81C63D-FF96-4771-96A5-0BDF1D11C3A4}"/>
            </a:ext>
          </a:extLst>
        </xdr:cNvPr>
        <xdr:cNvSpPr txBox="1"/>
      </xdr:nvSpPr>
      <xdr:spPr>
        <a:xfrm>
          <a:off x="21326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1E421918-CC7D-4BB3-99B5-3C2498D50505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273D4EEE-9A50-4798-B3C0-D26602A03F52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6864116E-236B-4F4A-81DD-DB9629734E7D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7A7A1B9C-E32D-4985-BA29-92A3011FA898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CF1E447D-9708-43DC-B4A5-B51EA63FF7A8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10F9FCF6-2E13-4162-B010-A742F11B7DCD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B617A9F7-8E3E-436F-AFFD-B26808DDE7F5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27C85B50-2406-4523-92E2-8BFE7525990D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D2A994F8-BBD5-474B-A040-95DE94AB94E1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380C5646-33DC-4817-99BA-88262330C845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ED030F15-2AB2-48F4-BDC8-EE2E9C6238AE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D0B317EB-8A3A-4E72-B404-A5A33F3B984E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08734DEE-0FEA-42CC-9B7F-211279E75E09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28D8F194-1050-4AE1-8F02-7DFA234C2BD9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B1DBA01E-31C8-4B11-85C7-82C008B20F7D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03826522-8442-4260-909F-3FC12EAD35E9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12CCDF6F-361B-408C-B709-F25CE7C18DE7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0CC9EEC9-7CDB-41E2-A1CB-7E072AF34F59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1374BC69-6CFB-4651-91AE-13B1B2670ABD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CBDC4E69-9CC2-437D-808B-6DC17E9E9457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9457105D-29EE-4C85-ABF4-22C7630DE277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DF2B348D-A1C1-41AF-93CC-01C1734387EC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647DDAFA-48AB-4C40-B78C-EFBACA43239B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CFF56347-B952-496F-AE82-831B9B46166F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BA7C7B1F-45FC-4B2A-8EFA-4CF7165D3CDA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F4D2F5FE-95D8-45F1-8F06-FB6AEB552432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2E3DB8EE-7380-4F50-99D3-0A6A09693C3A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1FDFF8D3-4DC9-468D-9C4E-5F895D6941EE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C43F6987-4235-4B63-B611-CE67FC5A9D93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0145D1CD-685B-477B-A151-FD7541C8A3AC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0FA57C7A-8A95-4665-9C87-7486FFCB5F83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B201DB1E-BB4C-42DD-9359-A8D9295A7C19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4D49C2D1-1461-45E1-A9E0-DAA2D4EC5119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01372629-C19C-4DE5-88EA-17D51EFC8EDA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35F7CA0B-16A3-4105-BB67-D8A72775D920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8C481978-0820-4F03-9730-EED1C938D8B8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1413E168-D020-4F84-A9E7-F1A77707CD0B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DAD2BDFE-F068-4372-BA86-17C555DC0F33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7D0AB7D3-73E5-4C8D-BDA1-32E5D47148CB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E1214CE0-C401-45D3-8CFE-15BA56E23EDE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003007DA-816C-49A2-B40C-D9A5B1B445CD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C3F6809C-25F0-4C62-8B33-E428A7DA0635}"/>
            </a:ext>
          </a:extLst>
        </xdr:cNvPr>
        <xdr:cNvSpPr txBox="1"/>
      </xdr:nvSpPr>
      <xdr:spPr>
        <a:xfrm>
          <a:off x="22545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543B8C4F-46CF-4222-B872-252BFFD4A1A9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7ED29384-7DC6-4B1C-AD8C-917A96A9C3DD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7EBC9E8B-5C23-4C18-B827-A11C20118614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5EE2BBD5-27EC-46B7-A70D-114BC8E0CF32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21F46B64-69FA-49D9-B5FB-908EBB046F2A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331DE694-0623-4368-AE95-3E04DE213608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6619E61B-8515-4D70-8EE2-D20657EEAFC9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5628F8B1-15F8-4065-B2AF-B6F1D849D305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090A2315-B7E4-4F05-8298-81A10E95DF8E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79A33DC4-9D5C-4255-9643-A105E3E7208F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C1FF1D3C-32D2-4134-905B-3F07B18B89E3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686BB6D8-C8F8-4519-AA50-80D81772088D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EEB23215-AAAD-4FBA-9E08-7C8F3B5741A5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3837C5C3-3930-4122-8E93-EB9EFDD80330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B2DBC248-5315-42C2-9811-1D2458CDA2A4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5030D5BA-9234-4DEB-BCEC-307214EA091C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E56B217B-228D-4523-94F1-39441295F811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84329D5B-68AE-427B-82C3-9A526225423C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580B91BC-D76C-423B-8642-3D5D35198A42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095538E1-4F22-4EB0-8A97-FFCD26C1BA7E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997C18D8-6273-41C7-884B-9FE1580C582A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A17CBA5D-CBD2-4D3F-AC10-6824CB620D05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7F29370F-41C6-494A-816F-DEA4F0FA1434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494C2C49-1ADC-4034-A07C-94340FF73DCA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B98EA3BF-87AD-4FF6-A968-A57037E32D59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134C0DA3-EEE4-4923-B19C-D1D0EA1C09AC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80F4EBFE-7269-4A29-840B-39E21A546420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30CFE45D-FD3A-4251-9F84-759E2D056FF4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A79AAAE1-D6C4-47F9-BAC6-4AAB58D9E558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803745C7-9680-4324-915D-412400EE3DBA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E689FB16-28C5-4FE1-A469-B6AAB1D1F090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2FF67E95-2407-4A54-B185-9C8884E89DAF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73FEA5DF-BFF2-494C-AD41-341211E53EED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6F4976A3-8BA7-43B8-BD5A-90570E6DD295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C899F858-DEEE-4FE4-A2F4-117FFFED8CE1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489C1C8A-B390-4E11-89EF-E6AA7409180A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D875DE38-9107-48AA-9520-22F24825C34B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61A3E302-34D4-4B9D-AC68-3E76A0E1AC29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55980A07-ED75-47AF-B18C-BFA2F74E36F2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5479D837-96C7-4219-9504-1205DE2F545C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36</xdr:col>
      <xdr:colOff>0</xdr:colOff>
      <xdr:row>3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543947B5-A8D4-4853-826A-36637E1C9036}"/>
            </a:ext>
          </a:extLst>
        </xdr:cNvPr>
        <xdr:cNvSpPr txBox="1"/>
      </xdr:nvSpPr>
      <xdr:spPr>
        <a:xfrm>
          <a:off x="22545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AEF2B36C-788F-44D3-A09A-42C4E0FC4856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A4D82C08-928B-45B7-8412-88067C8515C9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C7F0E726-0686-4F26-9C9E-227F2949D00A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156DB95B-E847-4163-8D10-583A26A7C238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9CD37725-32E1-4500-AAF4-45661F612F38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EBDB059D-678F-4124-8911-6462AEA94C45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1D15B07E-2A8B-448C-936E-7B846BFC2759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42DB916D-5ACC-4D5D-8FBC-DBC67B03FF07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16D92A60-A3F6-4792-AB21-0DCB62BE526A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19872613-1B2F-4FEC-8E3C-5D942A63C26C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3E00688C-623E-485F-A3F9-051DC2EFCD4C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F7CA3359-C58F-468F-905D-3EE3C4815F30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8FC726D9-CC1D-4A8E-9939-D362221AEA3F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649E579A-F2B8-4EB2-A3D2-D7F087372EFB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F2295059-F442-4D83-9902-5B2D330CD832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AC54BAC8-4CB1-44FB-B87C-B31CCB1F46ED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CA5A686A-10C1-4D5F-9E87-AC9168D39D83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E19398FA-53D2-4F0F-9D0B-50420DDB1148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F3868785-1BED-4DD0-848C-44FB5421C2E0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AD69DAC6-5E72-4A0F-A560-61D14BD4EF36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CFC53EAB-8C97-4094-AFF1-9E45F16B91BA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89A5AF3A-53C3-4FDC-AEBB-DE37A92FB31A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70644EA9-B68E-4FF5-97BE-B3AD48AF89F9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8961416C-B786-44B8-B374-9517C5F4DF09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F3FABDA1-C395-4760-9C7E-6833C8FBF9C3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1C50A5CC-A06D-456C-BCB1-2CFB230BC621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EF4BDEE7-1E4A-41A8-9D21-6A2F748429C7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377D8867-62A1-45AF-8B7F-5FC9C10505FA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5205E1D6-3D0B-4D2A-A49E-20DB8A1AF927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E889631C-8216-4324-BCDD-EB04F6B2F859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BB6E3582-F5BB-4008-8ADF-D70BDB4019E9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85F83AB7-4FA9-4405-A9F0-EE49B30EDBFA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73C1B2A2-B169-4B2F-999A-672F9AC66AC6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05B9EF79-E9BA-4B84-879B-D371CF12CED7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B6D537CA-6A66-4300-BEB1-A5F6612311E6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2F487B2F-FF60-4719-BF11-C86E9CD6EE89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9EBDE0AB-41B5-4129-A6B1-92100B387359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16A5051F-E30E-47F8-BDA7-D3EAD0E0B162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CC448C8D-6D68-4829-8255-1C383D295B46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7C9A82B7-8DE1-4440-9871-D3E806BF6853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9FBA046B-2883-4B0D-B66C-2A4365F51212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37</xdr:col>
      <xdr:colOff>0</xdr:colOff>
      <xdr:row>2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2B022DC8-858E-428A-A895-B515EE0D4863}"/>
            </a:ext>
          </a:extLst>
        </xdr:cNvPr>
        <xdr:cNvSpPr txBox="1"/>
      </xdr:nvSpPr>
      <xdr:spPr>
        <a:xfrm>
          <a:off x="23764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164C8B26-7F8F-4EB7-9310-479CA272E34E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E708F5CB-F736-45E9-9014-B820EBC35042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DDF07E66-AE40-4D28-9689-7F8031201151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7E904D29-D337-4693-9C42-FAA99297B2DF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12CA5F6B-E9BF-4F01-921D-ED3EFEED8ADA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174D4476-ED98-4721-A333-8C3D397BA3BD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B4C44A8C-9694-4F2E-95F8-E43B0FFFA8DB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EAE0200D-5163-4758-8021-AC7250613125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DEF9838F-137A-4EA2-B0FB-5D3BC266D095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06667B43-B85E-40F4-8B1C-F96D2B295BE1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D5F58F31-DC03-4959-A4E1-1C4D8FBF7666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4A2C13B4-B528-4A40-8B24-830F147CD394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38944B4B-630A-4D50-A0F0-E1A3750D885B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F3C506FF-6C63-48A7-B9F9-3E48FDE64E31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5FB394CB-C2CC-4B64-8D7C-DC987C40703E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3F12CFBC-B64C-49CF-9625-6224875589F3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E1F9E548-D571-4127-A00D-665902398236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528C5ADC-1BE7-4529-A6A6-2DCE241520F3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FEEE41B8-F28D-4D12-BC0C-7252BF29D4B5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41F38E80-8EA5-4082-BB4A-101FFB1B6320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07AE0F9D-94D7-4791-957C-F4E37B316DB9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1AD2CA91-18FF-41EB-A4AC-A4D53AFB0D47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66A0E333-9278-44F2-9388-8FDD9B6B7A55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94B7A7EC-5EFF-4FBA-B9DC-ED220A6A1FF9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2291B44E-81DB-413B-BDAC-AFDF5F947AF2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6B56511E-CEE7-4324-9C4B-6F2C828E39C8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C4D12047-D1E7-490C-B0BE-1554834B441C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8057D40E-066D-40B7-BA3C-B3C71539B0FD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D7ABBDC3-4515-41C4-9CC6-650F40E5E2CE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A16E8800-C195-4078-B5F2-C4B558F32360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7919C8D7-0D3D-4955-BC88-E0D99FC643A0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A4CE5DB5-3F28-489A-93FB-1A8E0EA1BC63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43939DE2-3A8E-40CB-9C7B-5AE3E10F4B28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9EE41669-1661-4721-9C52-B201ED09D4B8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18D48E40-6B6C-4484-A8EB-ECCDD8824262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FD1E9299-0AA8-4398-B562-6787F133F856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51B0E2D1-CCF0-41DC-8321-B1BCD971A21C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F4BE79F0-04C1-4BBF-BEB9-5732D6293D8E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DFE8B779-42F4-414C-99F8-5C7D393E47C1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C805E15F-D471-46D2-8459-C4F4CBDC38AB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38</xdr:col>
      <xdr:colOff>0</xdr:colOff>
      <xdr:row>3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400D56DF-5F11-47CD-B5FC-B9C39A1AEEA9}"/>
            </a:ext>
          </a:extLst>
        </xdr:cNvPr>
        <xdr:cNvSpPr txBox="1"/>
      </xdr:nvSpPr>
      <xdr:spPr>
        <a:xfrm>
          <a:off x="23764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E35F0937-645A-4B0F-97CE-1622EFD10118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409BF184-A4E1-461C-B9C0-2407D1D3A85F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9BBCFCA8-355F-404A-91C9-C3FFF37A1AC6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48FCC476-E822-4B86-A08F-91B6D5D3FCE2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5DB4885B-37D2-4AB9-ADFF-F13947754AA1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37358A89-01DD-499D-8D59-2EB957E32678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82C909D2-F6E3-4460-BA7E-14429F392712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55AE671D-8041-42E1-A8F1-AF45C169303E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05BB274D-0379-46B8-A6F7-3EACF1A0B75C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E98B4F83-7097-43C0-8FA3-05EE797CDBB9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5AFC7AE5-287E-4660-AE0C-27E13D06B1CD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57366370-D36B-4073-8F6E-FA8DC12AC2B6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0131D62F-56A8-4226-9EAB-AE40DB172386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D0B8279F-CF65-41A9-9524-2F2B25B01979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C6AC2BE6-D83D-4314-8923-48DC812FFFB8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B987435F-C01B-4760-B2E3-C594F4B833DE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99BCB22F-DAE1-4C2C-9C54-875BDEA2A995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37B34CCE-2693-4EAE-A91C-09D1D9DCF993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3DF39D1F-95D4-485E-8F53-A3DEEE8F7D88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10820EA8-A8AD-42E4-B242-03B05FD34CFD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911A65F6-A72B-4CE1-B1B6-2F99501EB7CC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70071473-95C4-4D54-BEF3-EC9C7BC2ECDA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15B68357-7637-486F-9DE3-AF81CEA69B89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1764F173-26BB-4C1C-AEB7-B70D385A9E36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E260EDA6-0A73-4DF9-837C-01B3056028BF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574B1863-AD97-4A53-A07B-E4386DAE4F55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D2D995EB-5C5E-449E-AB98-4A494C0BD0C2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FA022CFD-FED3-466B-BCE3-1CFA780F5690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E3FF96BA-73F1-4E83-9CA8-CCC248D1C53D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381D8A16-F057-4240-9453-EBD0CB08F8C1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725C95A0-1902-4A7B-972D-26AE31A6A718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827352DB-646D-4179-8A17-458179DC1038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DD4AF786-1E92-4ED9-83E5-F433FFCC4E55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5F362CF0-A73F-4CB0-AFD2-576BCB6833D2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8CA469B8-9AEC-4878-8C85-48317719821B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E8B9BB89-9BB1-4B95-A75F-1D664265410E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7BBF6032-4CCD-4558-910B-6030690B8A6F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1FE45BB8-2A3D-4982-817E-494E217C9D50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C3D10C23-F42E-4B93-B07E-30E2546F0EFB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6FF0BD40-5F56-4B83-86D8-7E99D69D5E76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7195B36E-44D2-4A1A-A423-C93FAF611B28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39</xdr:col>
      <xdr:colOff>0</xdr:colOff>
      <xdr:row>2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1B84E0D3-FA3D-43EF-AD6D-2E06CB792C2D}"/>
            </a:ext>
          </a:extLst>
        </xdr:cNvPr>
        <xdr:cNvSpPr txBox="1"/>
      </xdr:nvSpPr>
      <xdr:spPr>
        <a:xfrm>
          <a:off x="24984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4CA906D6-DAC3-4279-AED6-7CD0A632CD98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4BD9C659-9617-45E9-9B52-54D2C1C7B282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C7F65E02-D0D7-45BC-9CFB-6B6EAAB924AE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BE3320E2-EA1D-47A9-B173-A42E096016F1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40D19373-8151-4864-8198-2D37836827AB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140F8056-15F8-41BF-BD7B-8D477092AE02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8BB9867C-E993-4427-8B2F-1EE680770EFE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60ECDAB2-5BD9-4EB6-B530-958DBFD78A55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F72AAB37-CF3D-4B17-B59D-B32D4B07933E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95C45362-9305-45DE-8371-DD11A116741E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A261A34B-886C-4DE2-A243-9C12B57EAE45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02A8BF2D-D2C8-4ED4-B3E4-638ADE11EA4D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DDC9352B-5F65-44FD-88DB-421338E321B6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836D5C2E-6AE8-4DE9-BF47-BAB209D03331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4E3716BA-4F19-497F-95D1-803F12C21CC3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FBBE3046-0F69-4F99-82D0-3F0417D8472D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47946F47-664A-4515-9CE3-6A38A63E944A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937B783A-183A-4100-A109-ED958D7A9884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35018BD3-9B50-4AC4-94E0-087652AD3300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01CDF83D-634F-4A82-8D0F-4B92BB7D63C5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1FC12CFB-E879-4AAF-9A6F-70AE62DFD903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6BC08EFE-5D91-4B54-A0AC-B6F6E2047264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4E95A37C-C2D0-4B54-8E54-A3E0BC0493A6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ADE24A21-55E8-45FA-8C7F-DE039874942E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142B1CA1-E5DF-4C8B-A935-FCDAFF73CCE5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BAC8EC41-A582-4A44-B749-B0B434EF3D4B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1183E6C0-F37E-4B83-8CA1-534863E59C54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BDF7090F-B3E1-407C-ACF1-6797B6FE82D0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1A31A289-354A-48CE-B844-0672F7EFFFB6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B8A08C58-3DA5-4A84-8E8E-8B1B1AE9052F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3B26A636-0E49-47A5-9F11-32D6F3BBFA0A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78E62122-5634-4906-AC32-AA199D476256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28BA966F-C347-45E5-B437-2888DAC8CB8F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C1D22597-096B-4F85-BF42-BF1552F335C8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97A7E423-EF6D-4BE5-BEB8-EA236C7811C7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C63D1869-BA04-4621-9EAA-F33E9BDEE17F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FFB3A1C9-2632-4CEA-8AC7-CB7D2EAE8B9D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7C6AD247-A9C8-4F4B-AF5A-9C9E5DB9C83F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C719B3E8-D6D9-41FD-85CA-DD64F3E595E3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816CE4A2-308F-4BD6-B16A-9C647162FCAF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40</xdr:col>
      <xdr:colOff>0</xdr:colOff>
      <xdr:row>3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005F1393-F268-40BE-B807-2715CA6F2C75}"/>
            </a:ext>
          </a:extLst>
        </xdr:cNvPr>
        <xdr:cNvSpPr txBox="1"/>
      </xdr:nvSpPr>
      <xdr:spPr>
        <a:xfrm>
          <a:off x="24984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3AB994B3-AC15-4DD8-83BA-A769A04E9E12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BC9AB21B-F213-4A14-9025-E7C61D9E55D7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588756D5-C385-4EF3-BBBB-C54443F7B8DF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72C6DFCE-F6DB-48A8-BA32-581653306979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32479B1F-A92B-4D83-AAC7-D4FDD246A59A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D8EF5C98-A59E-4473-980E-7050D11C9C20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340ADD2E-2F34-4675-8084-FE7FE7862821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AF2464F1-6C3C-404B-986F-F6B0B4847887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1D7D28B6-D11A-4296-AF0E-F3A5D84CD3DB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2B45FF03-10AD-4C09-9931-9FC50E440868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0832C6CA-A2B4-4706-A440-E7BF364970A2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36E94657-1A4B-469D-82AE-C3B09FDE8E78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085A3C9E-FD6B-44AD-B37E-D779488716D1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D21851FF-9FAD-4972-AE9C-30A9F35E6D0A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FFFE72DA-BA50-4902-9D19-4339DC4BDFE6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B104B60C-DD2C-4155-B977-8447441562B6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A63D537C-C1AC-4688-8998-B1B90D0CA430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45AC6DD9-2D3B-4B3E-8F04-320525AA0869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06F9E6F7-6B41-4AFF-BFC7-B6C62DB5BE51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8FD08100-A048-4F6E-BA8C-7494ACB6FC04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118D9CB2-2C91-4DD8-BDF1-898391ACC283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73DEA8C1-98E4-482B-BFC3-6A85D0BF5D45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FDCFF6B7-FE65-41E9-BB90-872094C368CF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053CCF21-7D48-4461-A9F5-CBCB40A66549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B18E9729-6EE8-4A69-8705-2C939B178F11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2DD55EEF-4A0A-4345-A5CE-F3BC79A0E7CD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1B22A963-B100-4209-8C67-3A0F36929C89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A6CD2DB9-CBDD-465D-A4AD-E87BECEE808C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2728B409-8C1D-46E2-B2E1-687DFA76DEB0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85B142AE-D42F-40BD-B521-6F76C41C962D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371DCE5D-96AB-4701-A267-73600CFE24ED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FD93702A-3B67-47D0-B08C-AD76E201F931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E188D31A-3BAD-43DC-A6B9-DEE99EC593D7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486BE9DC-5A10-4674-B412-2960C326DF9B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240B8DB1-81D5-4CBC-BA61-B39D0FF9F8D7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9BDB00A3-13B9-4E72-9415-BA7E53D9714D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DBD7C237-DAAC-43B2-BD0F-C2181382127C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48EFA772-577F-4FE8-ADD4-F5419FE8E674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C1DF78C2-F8DC-4524-917A-38D4AC7F7995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3FC86672-31B6-426C-96FC-78892AF0105A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B0904BCE-367C-41A1-BA30-D97856A382C3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41</xdr:col>
      <xdr:colOff>0</xdr:colOff>
      <xdr:row>2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B5FBC90E-AE1D-41D1-8865-19E36C32C911}"/>
            </a:ext>
          </a:extLst>
        </xdr:cNvPr>
        <xdr:cNvSpPr txBox="1"/>
      </xdr:nvSpPr>
      <xdr:spPr>
        <a:xfrm>
          <a:off x="26203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9CB4CAAB-223F-4C05-86D2-760A4061EDDB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0A9C7D90-BBED-4526-B2DB-C7CA9FB8F7BD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5E6F07B3-74A6-4675-9F11-6C86E1F025BB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EDF290B2-1199-48D8-9E3D-6646B6502D01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0813D8EC-26D2-4D44-8AB6-54934A16D9B1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0D7EBEA0-9215-46F3-98D8-DED18B9FDEB2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2B2F9045-4CCE-449B-822A-233BC7A5FC34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EC124B9D-3D59-4CA8-8AD9-07789DF9C5BE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9B838D34-B9F7-4ECC-8A42-B3DC68EA21F6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50C18415-B3F8-4BF4-BFDC-68BCF3E246E3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F624D39F-7526-4540-838E-5AF4ADCAB0E0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CA1BFEFB-77B4-434D-80A8-9D0CA6A9247F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952B52A4-5326-41E8-94A5-6AEA81345547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6282CC14-772F-4C7B-BCBC-B5BC99C930AF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8AF27F63-7E17-4B1B-961F-89C17ED543A5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5B71F537-CC76-47BB-9996-779323F9DDA0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2992BBCB-E474-4744-918B-5A3EACF8A8EF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E98D7267-E965-450C-BF7D-11FABA2740EB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97B543E3-B662-4D75-A25D-8F74CACBE447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5DC26BEC-4A2C-46D8-A3ED-CBF88ACF651E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33AD5D45-8035-4FD6-9B12-EB35F40A424D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DB389AC6-56FE-4E0F-9C77-AAFBA82AE3DC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0F0E70D2-8EF7-46E3-AF67-834F63898DB3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C1C64C60-21B1-4625-9F0E-C7518EF3DD6B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C4FAEDAE-8B19-4A39-8A66-4009C64FE434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70EE7EF1-6352-4140-B591-E222B73DCD7A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45D2240A-4EE0-4FF9-B447-513B1520E252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3293066C-8391-415E-90A3-D3246364C6DF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CB0D12A4-BD65-4FFD-AD03-6D12DD16DDAA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E2194922-DCDC-4D4C-8538-A601E381BA6D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E220ECA6-2198-4F01-8225-7C50D5CF49EB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5A4CE611-BB1C-4F87-A54E-D7B1B302C09E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0BE7CDF3-C141-48B5-9DA8-6E3A9C4BFA60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2F6EECE0-0E5A-45B7-91C0-5E19F61E99AA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79BBF14E-0694-46D7-A9B9-50BEF70D8F2E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D94582FD-4666-4A58-AC34-84F4E85E0C31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22F0B14B-F0F9-4C5E-AF81-0F711979F709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349857EE-B4D9-45E1-A70E-236E1FAC3BD4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F0E6F891-B22C-419A-BDA6-0AFF6AED6E64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E67A01F9-E0CB-459A-A14F-98694651B075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42</xdr:col>
      <xdr:colOff>0</xdr:colOff>
      <xdr:row>3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4E7A0D61-AD34-453D-8900-1AE4925B4C86}"/>
            </a:ext>
          </a:extLst>
        </xdr:cNvPr>
        <xdr:cNvSpPr txBox="1"/>
      </xdr:nvSpPr>
      <xdr:spPr>
        <a:xfrm>
          <a:off x="26203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5CD46713-7752-4E93-9540-00678DBCD434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73DB4419-330F-42E6-884F-09F55A22DF89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2B92D857-417C-40AE-B492-4ECF511565A0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6903C3AC-DFC3-4B96-8AB2-D4A0B049077F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B00DFBFA-5F02-4471-A19A-96A37C6F4C96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354C8500-6CF8-4C5F-B873-B7C3A6E7F799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84DD7E54-2DB9-4CB9-8CA4-B13D3E3A12D7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2F6ACD43-2F42-4659-B16F-445D24535BAD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460DF6C9-A444-4397-A5DF-67C8EDBFFF6F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1D5FB473-942C-46F2-8DFF-3CA279B7FCA1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B8D2EA60-E9CC-41C1-80D8-E0D8D4136697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40E8940C-9098-47F1-A66B-A0CBC423AB17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18D6C111-5ABC-49A2-B73D-31DD71B86001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677A7A7C-1B22-4B1D-AD63-B378DAFC9B66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1B967CA6-09BB-4D89-A135-068703A29ECD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887014FE-892F-4B66-AC06-601B31FE4D7F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82FD8E64-5876-4FE7-B1ED-C030F7BD76EA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C63888B2-8361-44D2-A76E-C07DC3D7677E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9516F09A-BD3C-4C36-A30D-B6053D2701B0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B52B850D-0EAA-4CE5-A173-0803C9B02C83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569FA184-0C3A-4F5B-822C-6D20A508E617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6992D242-9013-45A1-A5D5-5FA2FBD9C957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5AC96BEF-EC8F-410F-B02C-C5741D1BF41A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9B5985B8-B90D-49DF-8634-80E00831C99D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C65EAAF2-3DEC-4DA9-950D-69A7E96EE3FE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2E8EFD2C-C10F-482C-9894-06D7C1246887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2D332313-4F3A-4C89-A95C-A3FDDC6B83C4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43768516-DE45-487B-8A44-DF5DBD14972D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1F508A66-09DF-47B1-85FA-A319E7017935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E4F31145-B411-4514-87F8-FCD5984EE097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9A806C89-FF84-43F0-91B9-6EA3533B4067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91367440-2711-469D-84EF-4AB4E8981249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76463786-DCEC-42E8-9A38-BF50D6386E9C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C562893B-A601-4943-8D99-6FC96427EC76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FF14CFFB-B387-4A2C-B58D-624FB2B08A99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FE58F909-6DF1-4C6A-87A4-F05E84225F53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465180F1-A9A5-4D8A-AC6E-4D7C51FF1173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CEEF0B29-9F0E-44D8-AEA1-53E994F17645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B71F226A-1E82-4C1E-91F7-5B9783998CB5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6D86EE45-A434-4F5E-A45B-521C6ECD31A1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CE654537-274F-40E4-8610-DED17093255D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43</xdr:col>
      <xdr:colOff>0</xdr:colOff>
      <xdr:row>2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7759C3A8-3932-4BF6-8809-CF193DE61A0B}"/>
            </a:ext>
          </a:extLst>
        </xdr:cNvPr>
        <xdr:cNvSpPr txBox="1"/>
      </xdr:nvSpPr>
      <xdr:spPr>
        <a:xfrm>
          <a:off x="274224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7F1432F6-E855-4C37-8196-034B5CD57A52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0A705A43-F93A-4484-AFD9-E78BEFC8F191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708446F1-6183-4CEC-B7E3-BD5CD026E7B4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6E41278D-E3FE-45BF-99D0-82C70917C04C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4D2920CD-892C-491B-AAF9-340C27325DDC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5C1BD5FB-28BE-4909-8EE8-E9B93DAA3364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EB02E107-B4B4-4CA6-8EB4-80DDF59435E1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377B4810-4F2B-44CC-89D4-5A59358C34A5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1705EA3E-9840-4104-8C95-904AE319864A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2FB27C76-DF98-4FB6-AAAE-F064ECB15131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C469F66F-ADAB-4928-A131-B09A0A2E1DB7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976A4A00-DD9C-43DF-9849-661B04B45EB8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0B913C76-CE00-4610-BC4E-39D90591B52F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89DFD92F-7060-4F1B-80FC-EB1B1D01D5B8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C75DA84F-B1EC-41C6-BDD8-4027D7C551BF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8F059083-6FBA-4BB5-AB3B-325A2D08785C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32962184-0DB8-42A8-89CA-BE14E16C857D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AFC6DED1-75D5-4289-A3FF-074C39E41011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DCF973A8-7AF6-46FE-9798-4382204673A5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D86EA98D-0BF0-44E0-9DD6-E001ADB82C7F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32D5D9F9-2D53-43D2-9E13-48C35F2D0D71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CA2F8BE5-A132-4F41-87DC-C672E083CA55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ED4DF1D8-9DF9-4EC0-A036-216CF498365D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8C014CBA-102F-464F-8BAB-AACE1941B66B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B6D6AE4A-6D1A-41F9-8190-88FAF79D5067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15A7F373-0D0D-4CDB-B087-DB11FE083993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908E2767-4595-42E2-A1D8-618608A4C397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5E7EEDE6-B97C-44CB-AE80-411C5DE459D1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00B2FD44-C9A2-481B-B32B-4F78E885A302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13EF1F4C-D8CA-4B40-BB27-7F314FBEB894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9F525D61-5D45-4265-A5FC-8F5C9BE2F61B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E4F18173-14E7-4E8C-93FD-A1B6CED3D3C1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EE0B7CC9-F7C9-4C42-8D8F-F8E0DEFDB792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BBED2784-1D3B-42D8-B3A2-DA4644F7CDA7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F98A8CF6-3C28-405C-9829-344BD6A43735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6C12DD04-BB1A-4631-AF05-F132B106E31E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5F8053B8-7104-44EF-AF65-4C2F9B77466B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1891E99C-9850-4332-9AE7-D319EE5955B2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2EB2FB0C-7345-4DD1-863D-50B5ACB12CC0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B468A7F4-FC1D-4BDC-BFBE-F38ABBFF2949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44</xdr:col>
      <xdr:colOff>0</xdr:colOff>
      <xdr:row>3</xdr:row>
      <xdr:rowOff>0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43F3E4ED-846C-4AE3-9A13-2CF8E7B32E8D}"/>
            </a:ext>
          </a:extLst>
        </xdr:cNvPr>
        <xdr:cNvSpPr txBox="1"/>
      </xdr:nvSpPr>
      <xdr:spPr>
        <a:xfrm>
          <a:off x="274224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C83BE175-1391-4B25-95B3-E08B6F2BB3F7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6F021084-A87B-4663-827B-1393B224706F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3D936056-802F-4B34-8C41-BCFCD628955C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2953C014-106A-4852-B3C2-848E055FEA71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B7371C8A-A479-4509-9E95-5D2DAB57B44C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B8D6240D-DC07-4C8F-8CF2-28CF42335F95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8F5BCB45-8EF1-4913-90E6-9855BFC8B8E8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C7F1689F-8231-496D-896C-D9F5F341DA13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A5D3DF1B-0E74-4014-B2A4-4B879A4E00AD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682FA789-A4AA-41A4-BF60-B50F57F3F224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5DF6FB45-DF81-42A7-8374-8EBAC013B7DD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3BE79D1D-AB43-4E0E-9FC8-7FBC1E215DD0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817441EA-C087-42B1-BAB0-C5D0883F9944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EC8CA4A5-B5A6-408C-9444-5E811DFE4702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827FC112-BAB3-40B0-B3B2-AE876E8ABC17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1F76EAD5-EE30-4B50-8E0A-32A8D37765CE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137F096D-5FEA-4EBE-BAD7-5D788B7475A8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4090DEBE-2C67-476F-A033-EE48EA127714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22690C34-5647-4770-A6A6-FEFED90DF73E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6A1BE345-F8FC-46B6-8EFC-2BC1160E62A8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80991FDF-25AD-4BE0-8D72-548FACE21CA9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DD5B3AD1-1084-4A80-95B0-38D9AA09C5CC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0168F9FC-DE7B-499B-9A49-57E2EEBD1F4D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B99EBEAA-9235-406F-862B-1790D99234C8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F3A7DB3B-F4D2-40B1-B2DB-CE63E9A3F2B1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53D4CFE6-60F8-41F0-9D9B-67196BAAA0A9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FA37075C-9153-4578-A0A9-57B45FB6A6B2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F478AA16-9BB7-4FA5-B324-AEC249D72CB5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D4718A23-DBA2-41B8-A7F5-1472E81CE54C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CE3CD6FB-8567-41E8-B6F6-06799A9FD4EF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C9335008-9A64-4616-A2CC-7922798F7674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AEB452F0-01B8-47A9-A27B-4DCD873E5810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EACE0BD1-8BCC-4D64-B559-ACA1F023CF9A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896A1DF3-79D6-4ECA-91A3-DD3CDAFFB0A1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8A2F544D-8226-4509-8AF0-9B04B61EC523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A63BB350-84C2-4E01-81D8-8E5443B6AC29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844AFAD0-728F-4880-BC70-D71DA0DB2B9B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D153C486-025D-4BD9-9A7F-77242C59AB5E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5C4473FB-F22E-45A6-9A83-FC46A991E31B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E9B1B7D8-F047-479D-8A65-146A7ED849A2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D4EF0328-7348-49D3-A73D-A98220D7D2B5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45</xdr:col>
      <xdr:colOff>0</xdr:colOff>
      <xdr:row>2</xdr:row>
      <xdr:rowOff>0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F866F706-D045-4B74-9BE5-7EB1A6BE7DB9}"/>
            </a:ext>
          </a:extLst>
        </xdr:cNvPr>
        <xdr:cNvSpPr txBox="1"/>
      </xdr:nvSpPr>
      <xdr:spPr>
        <a:xfrm>
          <a:off x="286416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50015D6F-2CA9-44E1-8673-E1FF5EF5359F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B6011DA2-7427-4AA8-BB05-FFCAC5549120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0D429B57-D3D9-45B5-9938-8D9D230B1F26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8862BD53-B393-46F1-99AF-7D2092694BE5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C2D1A494-BC14-4157-8F67-CFC70D360478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A7C4A7F9-D078-4554-AD27-3F78B46DDA80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407988A7-E48C-492E-B2E3-91AB622837A8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108D5C7C-0B0B-43F4-9830-403A8B7EFEB8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05BD5565-5F94-48DC-93E4-F3EEBEC70E3D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CA5E6E66-54C5-4FCD-91C0-B08856CC9B5A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217D8E1A-2087-49E4-8239-75D2A1F160D4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E75DF88A-FA88-47AD-9B72-F4F085AFFEE0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C23BB888-6016-4C88-A33C-4FE3F5A025B3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A8AE0326-F02C-40EF-8367-DC6691DF9A0F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6F4A61A9-F172-4E09-94C8-D848651EF561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891C2E99-0542-4638-B240-EA7503A75D18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AE50F7AF-63A6-4DCD-A4E6-3104D13B7641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824CC486-4F32-4D00-9F6D-31ED89435757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B98B94D5-C1BE-4FC0-93B3-8CEBE23B4556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D2AEE206-0C43-4B19-8BF6-5B721B68CADF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6DB6E899-04EC-4F1B-9B32-4B4702795B85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48EC7A41-1EB0-49E8-9DC0-EC5E6159B740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068A1D7B-AA45-48EF-AAB0-2AF92BD86ACC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9F3AE25E-3BCC-4B89-8C39-BA71633DF870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810762D4-C94C-491C-B93F-F9004E79C934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777CBB9E-052A-4206-90D8-96F8A6337F35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A3E24538-A4B1-4AC3-84A3-C61421093EAF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E8430DA9-06CE-4C13-AB09-451AE4A3C9D3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A93B69D5-872A-4FB5-89A1-D1725FFD8EED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0689BF7B-053F-48F5-AA00-02D027D38994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516AE10D-259D-4202-BD04-AB59018ECF03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21FE2B88-5F3B-4B12-8FAE-3D1BF27E38FD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50B44167-C108-466A-82BF-3594697D6D6D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B2A7E1D5-DC48-483F-8111-3607E02E2CE8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818C145E-ADE1-4370-9913-41CB48A6960B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D241B149-624D-4F6F-9223-CD95ED0038B4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3B33DC02-250F-4DCA-906A-109FC4797677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F72C34F6-8E67-45D8-804B-4D51CCC6D9FC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30C3F036-0208-405B-A699-D335E8EB802E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063A1C64-30D6-4747-9D8E-E63BE32C2A06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F646FC71-C2F9-48F8-8B7F-E454B149286A}"/>
            </a:ext>
          </a:extLst>
        </xdr:cNvPr>
        <xdr:cNvSpPr txBox="1"/>
      </xdr:nvSpPr>
      <xdr:spPr>
        <a:xfrm>
          <a:off x="286416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908AB753-DF86-41E4-97B8-00DB97C96928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15297B2A-B92D-4F46-9D28-72700601C643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3ABAC4FF-077B-4F0E-88CF-93D168408ACD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37E4957D-D4E8-4D95-9543-A9D39F852064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FB3B967D-D92D-48F6-BF9E-6B2F88748CA1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8759797D-0231-4658-A53C-E5362C5C4E08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4C64B374-67AA-4925-A713-1FBA14A7411C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BE003168-5392-47C6-8B39-F3A32DB39D9D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6533BD65-6D0E-4DF1-94E7-B9D4655F82C1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44F13B2D-B14E-4529-8822-A83AF603E72A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662DA3EF-FDF8-4D8A-825E-61EFF2502F1A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2A029E98-4A1D-413B-8189-ECA07D46B26E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FD0FE4FC-7F3E-48A2-8466-44F6327A4525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CC7538E6-F07F-47FA-A77F-F2E0E288805F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6F630AEF-2756-42DD-82A9-77D9E7CB506F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083D795F-EE7C-414F-86CF-F523345A963D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1806672C-9A04-4053-94E2-7983D64F94D6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48F3365A-19ED-4146-894D-5E048A6B914B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1A6FD2EC-350A-4C57-95B4-639164FE31AF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ED1695F5-89B8-4A4A-8E95-B6F79A82948B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9CEDA823-8F83-4DCF-9B70-848F91705072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7A67E3CA-4382-40FB-8F36-FDB67EFF0E61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CF01F5CE-3ECC-4458-8D4F-C59A17F6D4DA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73745C33-3667-453C-AFDD-38D09C748EE2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55E2C7C0-44D1-414D-9F3E-03ECEF6B4703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9C2C9C1E-2CD6-4A46-ACF4-0DC819AA6D3E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C81E32C5-99D8-4B15-8BDF-D3844A896CA4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C49D3241-E811-4EB3-867C-77E99F19369D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383B85A4-B367-461D-A83A-27A9491C5F37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03B883D2-FED0-4B2B-8433-E48A9E715666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CF0DC4D4-6EEB-4F8B-A15C-E86628F8DEA8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51F86BFF-3088-46C0-BCBA-1DC8E48C5AB1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ED7FD7C4-AE85-475D-B6ED-10E571D8FAA9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91707F78-4D62-4637-9811-E73C3F53282C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CFBF6F66-E21A-4EBC-A991-B676F9816BCB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233A102B-29B4-4026-942A-6DED8F658B8E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D73BAC40-3DAD-419A-B541-BF0E58C74443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1962749A-A002-43F0-8D81-A90EFEFF420E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C348795C-DF0C-4BAE-AF05-49387BBDA8AD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0CEA2344-C538-4B07-89BE-7017D723A95F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DE5B132E-1878-45A0-A3F8-0348BAE04359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47</xdr:col>
      <xdr:colOff>0</xdr:colOff>
      <xdr:row>2</xdr:row>
      <xdr:rowOff>0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79715F71-F967-434E-9074-A35453071765}"/>
            </a:ext>
          </a:extLst>
        </xdr:cNvPr>
        <xdr:cNvSpPr txBox="1"/>
      </xdr:nvSpPr>
      <xdr:spPr>
        <a:xfrm>
          <a:off x="298608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507D8164-0335-45FA-AFA2-514A4B5EAA2E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97291317-D45C-4C13-A614-6C82B539FA3F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13CA1092-63E1-4476-B1D6-29BB3D252275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7826A3F6-EBA2-4047-A4CF-CF296C2B009D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D7268618-0544-44D0-88BB-66C54398152C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D4BCDD97-AD43-43F3-8E8E-BEA475207260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9B1E3420-3477-42BC-B5A0-E0651F5F5DD3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B4B886D7-5536-4340-95C8-9AECE1C9A65A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C43B8B5F-0B88-44F2-A0E7-925B68EC0356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EE780401-D27C-472C-A95B-B9DEE5F799A9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0A9A4575-B810-4480-A79B-81F2854E4D02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90A30262-58CB-4940-B0BA-3159CA95E0DA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C649A977-0A96-4EF0-A301-084E914DEDEB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18FC105E-3F0F-4C85-AFB5-825E34AA0B3B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77A3EFAB-F3D3-49B5-8ABD-9573DE8F9B24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5CAB63AD-6412-4B24-804B-AC632C2B0250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2C635780-9192-42EF-B874-D3B347055A05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5D221F90-7591-4CA3-811C-4D7A0373B632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9A9B203B-49B9-4510-9661-026663C5A47A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2EA96FC8-CE77-441C-8863-64B805175949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749E13BA-14EE-4213-9FB3-E7189575D7AD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47300C73-571D-4AE2-B363-C08821054226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1FAC46B3-4885-4058-8D5C-36BA1146D549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8D6486D1-B69B-46CB-8C27-3DD466FAFAED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FAF3F3FA-05C4-4288-849B-EF2CB931AE92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B07D9543-100C-4F42-8364-19304E223B1A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E7029DD0-B68F-489B-B298-DF2A6AA7B509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A5C3CF14-2853-4766-B002-A6833E4EC7B4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72735A6B-5166-4EB5-A3DD-D4052BD8181A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B15234CE-1E95-4227-8CF5-15464838A9E6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C0EAD8EE-5C0E-4323-9D00-7A2E6745EEBF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2CEF7C6D-BCF6-4D85-B18D-BFA82B731807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22DC3A99-31B9-45A7-8C3E-51758BE6A5F0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292FB844-6246-4D6B-81E1-10D195429887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767969C4-EEF5-47C2-8281-C02711257CF5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0FB30B51-5E63-48F9-8680-7DA93B9CEE6B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0AB845E4-8C96-407C-8A0C-DE04F29E8FD4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D5BFD9AD-C13B-4673-B3D0-4E2E353D5AA3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E849FEB9-26DE-4D9A-8699-FEFC58E4F47F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2A5876C6-C43C-4844-BD89-C091AB11CE41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48</xdr:col>
      <xdr:colOff>0</xdr:colOff>
      <xdr:row>3</xdr:row>
      <xdr:rowOff>0</xdr:rowOff>
    </xdr:from>
    <xdr:ext cx="184731" cy="264560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C54D1452-DB34-4471-818E-4D22A8300DD3}"/>
            </a:ext>
          </a:extLst>
        </xdr:cNvPr>
        <xdr:cNvSpPr txBox="1"/>
      </xdr:nvSpPr>
      <xdr:spPr>
        <a:xfrm>
          <a:off x="298608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69A8B9B0-0288-4685-AFF1-71D7D4381FED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D2407F94-03F1-4FB7-A762-821F969A9E3A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F2F97AD0-C006-4E46-84AA-3D16B3C759DA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50417F28-F37A-4A8C-BB69-51B8BA7DB258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6385E6D2-5DC7-4CB9-96BC-85DA43DE80D2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33363662-F0C3-4F35-A599-DE96D3BFD4AC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04946AE6-A38B-4F5C-9F9C-13C87C589475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B336F410-7E02-4305-BF86-D8D8DD2C2BDD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FEF1BEE2-2F64-43B6-88D2-2DDD033B3E8C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288497D6-A035-4B5A-B618-1B94CDDAE39E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7E73E382-0C6F-4432-855B-CA42F9B1BF28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6394C058-32F9-4DBF-94D7-05C1C8324656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CCF6E5E5-9877-4C68-BF4F-E349F08A4950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82F69DC1-A30E-4C27-B625-0DABC10BC279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615BE553-91A4-4D40-892F-F2783AE02FD2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BB9F411A-59CE-4DB7-910E-61B27A3BC899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58C36B20-9E86-4C79-8825-925DCBB42F6E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CABA8F7D-3983-472D-BBDD-30210F2B5205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02089124-373E-481E-9C0B-6A0C98371C65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326898D6-F37D-4520-A90A-360581E7F6AC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B35AC07C-9908-4C8F-9A23-5D45CA09762C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B6FE24DE-14A0-4403-BD43-A1C62F0715D1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45813BCE-3433-4130-9A1A-6842EBD928C3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F2D54351-86EB-41A9-A9A0-52E4C63966F7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3B6A8389-A67A-4E3D-A66A-63F002AF0B1E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C6FD53D1-B548-40A3-9A2F-C1F774F77EE2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895DF354-3B7B-41D1-A043-3F678FA73646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0396653A-6BF4-4F71-AC5A-26F77976D401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D247E4C2-B3B7-422E-9C5F-6DC0C64FA35A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44588DA8-EA57-4923-835A-808C5E912189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2D64090B-EB8B-4096-91C5-9301A6269471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197C2E72-AD63-415E-9578-A392381B7022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76C1BFD8-3344-4CBB-9CFC-3A507CB8BA74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CF955F06-FEB4-4970-B572-B1A0060AC1A7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0F4D9101-4239-41B5-9950-C47DCBE75D2F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0E0F6AB7-F253-4A9B-9F37-99E04DF57525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2E896766-91F7-458F-B068-00B35D81F0EE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C6B74D19-C382-4F35-9B19-361B32A15B3B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C353D68C-7C21-434E-AA7C-3A35C21929B8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CD9D68FC-700E-40D1-9BA0-32D5138CC518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FDB170A5-BFC6-4062-882C-637A34DF249F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49</xdr:col>
      <xdr:colOff>0</xdr:colOff>
      <xdr:row>2</xdr:row>
      <xdr:rowOff>0</xdr:rowOff>
    </xdr:from>
    <xdr:ext cx="184731" cy="264560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BBAC492D-F31A-49CB-9984-11F37D6F0C98}"/>
            </a:ext>
          </a:extLst>
        </xdr:cNvPr>
        <xdr:cNvSpPr txBox="1"/>
      </xdr:nvSpPr>
      <xdr:spPr>
        <a:xfrm>
          <a:off x="310800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5B47B3C8-FE0E-4CF7-BC7D-298E0C7DBC76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33D6B7EE-7D43-492B-ADFC-1F3D93153C70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5D2314A7-52A2-49CD-842E-63BDE4E5FBBF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C66C5128-3781-485C-8024-71D70C84538F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BCD9FE7B-A904-4BD0-A08A-4330C8968057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72C582A0-3A63-41CE-A83C-EF903BE04241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C43492D3-5C26-419C-B928-F3F3594CC0F2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BD6556C7-AA2D-42B4-AC95-457A8ADF772C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A2F3A3F2-5879-4685-8811-0D10FC7B2650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EF4E575E-C617-4A45-8C26-C42FA9DB39F5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1CCA51AC-75F8-4274-8B9B-0CAFB1364BDD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3286DA2D-57DD-4F5B-9DCD-568031070EEF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2E97C9B8-2FD5-40A8-A276-8772F68E0BF4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A907255B-694F-4954-9557-F7A095464028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A769976F-E921-4E07-B67A-6050344F0ABC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44988DA1-EB51-4B08-8689-01AAF4E588A8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DFD4C0CC-6F9E-48D1-A8F1-232FC9A76EFC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CA33E846-4046-4863-95E4-25D70886C1FB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5B971F68-F437-4CF2-B492-1D572D2978D8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894F84CD-A88E-4325-8701-700EF0D7863E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6316FF06-854E-477C-AE0D-86329AD47034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06676B31-07D3-4B79-A99E-3D2F635D4239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B3230BE6-0957-41F6-A99C-BC52A85E80FA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3952E813-6C45-4943-A24F-F977E847A0B1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4A40DB04-2BBB-47F9-8491-7AA2FCF0EB0C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BF825E41-4F2B-4724-BD12-0A496846C2E1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0640F4EB-6B9F-4419-9112-BC64D1D6EE1A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7BA84347-6CB9-41B3-A430-E88076633502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88B2590B-810D-4C2F-BB2B-E9228BB401A6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E3A8783E-E3B7-4B6D-B3B7-9293664CA193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380405A3-D730-4FA4-8B54-4D081B3AF491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9C04D248-B48C-48D5-92A2-144713B4F5C0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E7E70DBE-5722-4A88-874B-5B893E4DBBB3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76A246A0-311C-4DED-8D39-4D40A793EF31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D45A28D2-CBCC-4A8E-90D6-133FE99AB9A6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A49D9BA7-73A1-40B4-BD6A-1CF5BAE76AE6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1D0F874B-6703-4118-91DA-88B166C22D90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7D22B750-5E04-448A-8FEC-686F95926370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F0314926-B8AC-457B-AAD0-309914B11B8E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EA0404AA-27C1-4069-93D2-58C62321B20A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50</xdr:col>
      <xdr:colOff>0</xdr:colOff>
      <xdr:row>3</xdr:row>
      <xdr:rowOff>0</xdr:rowOff>
    </xdr:from>
    <xdr:ext cx="184731" cy="264560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FEA76827-4F8F-4D09-BB60-C58653039495}"/>
            </a:ext>
          </a:extLst>
        </xdr:cNvPr>
        <xdr:cNvSpPr txBox="1"/>
      </xdr:nvSpPr>
      <xdr:spPr>
        <a:xfrm>
          <a:off x="310800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B1B86027-9AC2-4F7E-8140-C93B8946DE20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597AA3CE-CE3B-4C7A-829B-70BB85165E19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7FEAE3FA-FB85-4F2A-A47B-9CDC2059148C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3C54CFDC-C536-4E29-8FA3-B66B563A5738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C3C05885-4E10-4335-867E-F3D581CF0613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05D63792-65E0-4E15-AD7E-8EB387CE28E4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0572E661-ACF3-463D-90D6-6F82D5FFF2E4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74BF4279-DA13-41AB-B6D2-13037762A20B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3D214433-CB71-4424-AE9C-0178E3B59F62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43EA6D1A-94C9-4034-B2A4-BA3E7F5B07BF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DFF80318-FB9C-47C6-BF40-DDB4ABC607AA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173559FF-C353-4A9C-BD7C-7C24F82EDF57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903C407A-0D6E-4B18-A689-E9AFB128825E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5B24F70D-889C-47C2-9058-968919BEFAB0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814BC4F6-4254-4EA3-9060-216334F8DB46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C312D1CD-2DB2-4299-8196-98331B6B1FB5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8AE6E769-6913-4CF5-B6D3-FD3005A2CD4A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80293676-1164-442D-87C5-88CD0211923C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CFAC8568-FEE6-4F2E-B706-F4ED4CEA7177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53E1BEFE-B49C-4D50-9A5F-EA0C7665261E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3F97A3ED-D6A1-46E4-B75F-0F19211BFD4E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0A24F28D-0AF9-4946-BDC1-88C6448CB328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04A59DB5-BE50-420D-8CCD-53304F5AF07A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6A973596-F7A1-4D94-82AB-873E4576852D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EB4D6BFB-6E75-4E59-94C5-4386321D0233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6D9A3450-D0AD-424B-85A1-909D05201708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C9110D9C-F92A-43EB-9D13-97E584BF1CDB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475ABD67-7A1A-4AC2-901A-B5FCBB86B911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8B24D549-F118-437B-BAD0-A5063968454C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D113F9B4-8528-48BB-AFAC-EB89CB38A159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40D374A4-CE8C-4357-B8FD-D4F3CB81C87E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3B80D473-6E78-47ED-BF1B-FCD1C966AAA1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19618912-A61A-477C-8E39-C8DCEEF500E7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633E60DE-FD15-4D80-A1F8-DD2AEED9F424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27920825-2840-4C67-B4EF-E5BA669C22DB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BE44D1C8-961F-4AE9-8E4A-36C86625069C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6A5025DE-CB44-4004-A496-CD7F9D8FBE25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7415F9D2-3D5C-47BA-B15E-0A50AFA48437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52A362BF-6082-4488-9DCE-195EA3933AD6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AB36A307-5104-4E10-A9ED-3F02C1BCA9F2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22682222-C698-4975-82C6-5D483C4F0334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51</xdr:col>
      <xdr:colOff>0</xdr:colOff>
      <xdr:row>2</xdr:row>
      <xdr:rowOff>0</xdr:rowOff>
    </xdr:from>
    <xdr:ext cx="184731" cy="264560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DABD82E3-84DC-41E7-A5D5-D796B4FA8FBF}"/>
            </a:ext>
          </a:extLst>
        </xdr:cNvPr>
        <xdr:cNvSpPr txBox="1"/>
      </xdr:nvSpPr>
      <xdr:spPr>
        <a:xfrm>
          <a:off x="3229927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C8B61983-342A-4B28-8AB3-B6E3631196F5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5F6389EE-0BD1-4679-9E60-4859DF281F56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55CE32DE-20BF-4422-B9A1-84A98AC05176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D610408E-1B21-455A-B2A7-01AF3371E1D9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10CA4B30-5D1C-4D17-B4F4-3BA3B3B00739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DED81D4B-DA14-4CE0-B31B-25F9DCB31020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8BF298AF-BF2E-4041-8600-DCD1743BCAA4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21A901C3-34F2-4E83-8D65-12EDCD9A3C2A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635A873D-BAAF-48A1-A6A0-7F17AD26D3AB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7450A273-A08A-4E39-AB39-21E8B1829EF7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43EBE397-49FC-4023-9693-CDBC72F4735D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146E248F-3888-4020-83B2-3E837CA8194B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056C9FF0-3585-4132-896B-FA7A8E719EFD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6689EBD8-7105-47DF-BE4A-A13EA9DCF73C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7C0865D9-1345-4053-8362-D272C7557667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F34913E7-96F3-4220-9093-BFBBD2BA3DAD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C285A052-71EF-4EAD-B81F-7372B5098D28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241DABDC-9220-4AAD-BD05-BA109DB22E9A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66C3DC7D-4145-47BB-B568-045B7E818A89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9B9A2655-19AF-4680-82A8-B520BCC246E3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0A59CC03-11E2-42C7-B1C4-277C03E285A1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E884F174-7E96-4D9A-B5C9-36B14AE02BE8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E2055CDD-5D36-49D7-901D-0DEB31111678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320C9E79-165C-4F5E-A956-FF3D420AC36F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21D5072F-1096-4084-9619-6550598715C7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C29E2224-413F-43B5-A265-4DFB89D01D87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D823968F-71D9-44B1-8B3F-A0FD53CF1CC0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3784887C-145D-47CA-8103-D440FC230A0E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B92F1236-4170-4FC0-82A3-65FD0A94DB87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1A2281F6-1B1C-45EB-A438-4055B84ADE36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EFE3D516-40CD-45B7-9968-67ADEF43D21E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AC48B608-012E-4CD1-85D5-8417DD235100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6A541662-1089-416D-810A-CBF7173BF634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DAA14FE4-200B-4010-9A54-A40FE411C1A4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F40CC347-DACC-4703-A9DA-6D04D4D4CCC5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E0923A3A-E366-4AC7-828A-0C2208C39E1A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99FC3558-CAF9-4AB9-92BB-28B723984014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E031C5A5-3AA1-4B52-87DA-9C30F6791160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0176FE54-F353-4098-9C4A-4C22DA9EA01D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310E557E-0F2A-4476-B307-E70B2C9BA200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52</xdr:col>
      <xdr:colOff>0</xdr:colOff>
      <xdr:row>3</xdr:row>
      <xdr:rowOff>0</xdr:rowOff>
    </xdr:from>
    <xdr:ext cx="184731" cy="264560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9A049B75-0020-412E-B3E5-2214ABBED6B6}"/>
            </a:ext>
          </a:extLst>
        </xdr:cNvPr>
        <xdr:cNvSpPr txBox="1"/>
      </xdr:nvSpPr>
      <xdr:spPr>
        <a:xfrm>
          <a:off x="32299275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</xdr:colOff>
      <xdr:row>0</xdr:row>
      <xdr:rowOff>143022</xdr:rowOff>
    </xdr:from>
    <xdr:to>
      <xdr:col>0</xdr:col>
      <xdr:colOff>1964888</xdr:colOff>
      <xdr:row>3</xdr:row>
      <xdr:rowOff>3516</xdr:rowOff>
    </xdr:to>
    <xdr:pic>
      <xdr:nvPicPr>
        <xdr:cNvPr id="6327" name="Picture 6326" descr="Team London Bridge - Sainsbury's Local">
          <a:extLst>
            <a:ext uri="{FF2B5EF4-FFF2-40B4-BE49-F238E27FC236}">
              <a16:creationId xmlns:a16="http://schemas.microsoft.com/office/drawing/2014/main" id="{4CC7DB95-EA64-BBEC-99F2-DD9CA8CB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80" y="143022"/>
          <a:ext cx="1948623" cy="380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86419</xdr:colOff>
      <xdr:row>0</xdr:row>
      <xdr:rowOff>137599</xdr:rowOff>
    </xdr:from>
    <xdr:to>
      <xdr:col>0</xdr:col>
      <xdr:colOff>1828161</xdr:colOff>
      <xdr:row>3</xdr:row>
      <xdr:rowOff>91732</xdr:rowOff>
    </xdr:to>
    <xdr:pic>
      <xdr:nvPicPr>
        <xdr:cNvPr id="4" name="Picture 3" descr="Waitrose quality groceries and wine - Caterham Valley For You">
          <a:extLst>
            <a:ext uri="{FF2B5EF4-FFF2-40B4-BE49-F238E27FC236}">
              <a16:creationId xmlns:a16="http://schemas.microsoft.com/office/drawing/2014/main" id="{623F7DF0-2246-2A61-0D96-A330C0E205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4" t="22646" r="1864" b="30646"/>
        <a:stretch/>
      </xdr:blipFill>
      <xdr:spPr bwMode="auto">
        <a:xfrm>
          <a:off x="86419" y="137599"/>
          <a:ext cx="1741742" cy="457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6CE3-5BF4-4082-86E6-2F28CCE4AFDE}">
  <dimension ref="A1:BH13"/>
  <sheetViews>
    <sheetView tabSelected="1" zoomScale="85" zoomScaleNormal="85" workbookViewId="0">
      <pane xSplit="3" ySplit="5" topLeftCell="D6" activePane="bottomRight" state="frozen"/>
      <selection pane="bottomRight" activeCell="I13" sqref="I13"/>
      <selection pane="bottomLeft" activeCell="A6" sqref="A6"/>
      <selection pane="topRight" activeCell="D1" sqref="D1"/>
    </sheetView>
  </sheetViews>
  <sheetFormatPr defaultRowHeight="14.45"/>
  <cols>
    <col min="2" max="2" width="10.42578125" bestFit="1" customWidth="1"/>
    <col min="3" max="3" width="26" bestFit="1" customWidth="1"/>
  </cols>
  <sheetData>
    <row r="1" spans="1:60" ht="104.1">
      <c r="C1" s="21" t="s">
        <v>0</v>
      </c>
      <c r="D1" s="22" t="s">
        <v>1</v>
      </c>
      <c r="E1" s="22" t="s">
        <v>1</v>
      </c>
      <c r="F1" s="22" t="s">
        <v>1</v>
      </c>
      <c r="G1" s="23" t="s">
        <v>2</v>
      </c>
      <c r="H1" s="23" t="s">
        <v>2</v>
      </c>
      <c r="I1" s="23" t="s">
        <v>2</v>
      </c>
      <c r="J1" s="24" t="s">
        <v>3</v>
      </c>
      <c r="K1" s="24" t="s">
        <v>3</v>
      </c>
      <c r="L1" s="24" t="s">
        <v>3</v>
      </c>
      <c r="M1" s="23" t="s">
        <v>4</v>
      </c>
      <c r="N1" s="23" t="s">
        <v>4</v>
      </c>
      <c r="O1" s="25" t="s">
        <v>5</v>
      </c>
      <c r="P1" s="25" t="s">
        <v>5</v>
      </c>
      <c r="Q1" s="24" t="s">
        <v>6</v>
      </c>
      <c r="R1" s="24" t="s">
        <v>6</v>
      </c>
      <c r="S1" s="24" t="s">
        <v>6</v>
      </c>
      <c r="T1" s="24" t="s">
        <v>6</v>
      </c>
      <c r="U1" s="23" t="s">
        <v>7</v>
      </c>
      <c r="V1" s="23" t="s">
        <v>7</v>
      </c>
      <c r="W1" s="23" t="s">
        <v>7</v>
      </c>
      <c r="X1" s="23" t="s">
        <v>7</v>
      </c>
      <c r="Y1" s="25" t="s">
        <v>8</v>
      </c>
      <c r="Z1" s="25" t="s">
        <v>8</v>
      </c>
      <c r="AA1" s="25" t="s">
        <v>8</v>
      </c>
      <c r="AB1" s="25" t="s">
        <v>8</v>
      </c>
      <c r="AC1" s="25" t="s">
        <v>8</v>
      </c>
      <c r="AD1" s="25" t="s">
        <v>8</v>
      </c>
      <c r="AE1" s="24" t="s">
        <v>9</v>
      </c>
      <c r="AF1" s="24" t="s">
        <v>9</v>
      </c>
      <c r="AG1" s="24" t="s">
        <v>9</v>
      </c>
      <c r="AH1" s="25" t="s">
        <v>10</v>
      </c>
      <c r="AI1" s="25" t="s">
        <v>11</v>
      </c>
      <c r="AJ1" s="25" t="s">
        <v>11</v>
      </c>
      <c r="AK1" s="25" t="s">
        <v>11</v>
      </c>
      <c r="AL1" s="25" t="s">
        <v>11</v>
      </c>
      <c r="AM1" s="25" t="s">
        <v>11</v>
      </c>
      <c r="AN1" s="25" t="s">
        <v>12</v>
      </c>
      <c r="AO1" s="25" t="s">
        <v>13</v>
      </c>
      <c r="AP1" s="25" t="s">
        <v>14</v>
      </c>
      <c r="AQ1" s="25" t="s">
        <v>14</v>
      </c>
      <c r="AR1" s="25" t="s">
        <v>14</v>
      </c>
      <c r="AS1" s="23" t="s">
        <v>15</v>
      </c>
      <c r="AT1" s="23" t="s">
        <v>15</v>
      </c>
      <c r="AU1" s="23" t="s">
        <v>15</v>
      </c>
      <c r="AV1" s="23" t="s">
        <v>15</v>
      </c>
      <c r="AW1" s="24" t="s">
        <v>16</v>
      </c>
      <c r="AX1" s="24" t="s">
        <v>16</v>
      </c>
      <c r="AY1" s="23" t="s">
        <v>17</v>
      </c>
      <c r="AZ1" s="23" t="s">
        <v>17</v>
      </c>
      <c r="BA1" s="23" t="s">
        <v>17</v>
      </c>
      <c r="BB1" s="23" t="s">
        <v>17</v>
      </c>
      <c r="BC1" s="26" t="s">
        <v>18</v>
      </c>
      <c r="BD1" s="26" t="s">
        <v>18</v>
      </c>
    </row>
    <row r="2" spans="1:60" ht="51.95">
      <c r="C2" s="21" t="s">
        <v>19</v>
      </c>
      <c r="D2" s="27" t="s">
        <v>20</v>
      </c>
      <c r="E2" s="27" t="s">
        <v>20</v>
      </c>
      <c r="F2" s="27" t="s">
        <v>20</v>
      </c>
      <c r="G2" s="27" t="s">
        <v>20</v>
      </c>
      <c r="H2" s="27" t="s">
        <v>20</v>
      </c>
      <c r="I2" s="25" t="s">
        <v>21</v>
      </c>
      <c r="J2" s="25" t="s">
        <v>21</v>
      </c>
      <c r="K2" s="25" t="s">
        <v>21</v>
      </c>
      <c r="L2" s="25" t="s">
        <v>21</v>
      </c>
      <c r="M2" s="23" t="s">
        <v>22</v>
      </c>
      <c r="N2" s="23" t="s">
        <v>22</v>
      </c>
      <c r="O2" s="23" t="s">
        <v>22</v>
      </c>
      <c r="P2" s="23" t="s">
        <v>22</v>
      </c>
      <c r="Q2" s="24" t="s">
        <v>23</v>
      </c>
      <c r="R2" s="24" t="s">
        <v>23</v>
      </c>
      <c r="S2" s="24" t="s">
        <v>23</v>
      </c>
      <c r="T2" s="24" t="s">
        <v>23</v>
      </c>
      <c r="U2" s="24" t="s">
        <v>23</v>
      </c>
      <c r="V2" s="25" t="s">
        <v>24</v>
      </c>
      <c r="W2" s="25" t="s">
        <v>24</v>
      </c>
      <c r="X2" s="25" t="s">
        <v>24</v>
      </c>
      <c r="Y2" s="25" t="s">
        <v>24</v>
      </c>
      <c r="Z2" s="25" t="s">
        <v>25</v>
      </c>
      <c r="AA2" s="25" t="s">
        <v>25</v>
      </c>
      <c r="AB2" s="25" t="s">
        <v>25</v>
      </c>
      <c r="AC2" s="25" t="s">
        <v>25</v>
      </c>
      <c r="AD2" s="25" t="s">
        <v>25</v>
      </c>
      <c r="AE2" s="25" t="s">
        <v>24</v>
      </c>
      <c r="AF2" s="25" t="s">
        <v>24</v>
      </c>
      <c r="AG2" s="25" t="s">
        <v>24</v>
      </c>
      <c r="AH2" s="25" t="s">
        <v>21</v>
      </c>
      <c r="AI2" s="25" t="s">
        <v>21</v>
      </c>
      <c r="AJ2" s="25" t="s">
        <v>21</v>
      </c>
      <c r="AK2" s="25" t="s">
        <v>21</v>
      </c>
      <c r="AL2" s="25" t="s">
        <v>21</v>
      </c>
      <c r="AM2" s="25" t="s">
        <v>21</v>
      </c>
      <c r="AN2" s="25" t="s">
        <v>26</v>
      </c>
      <c r="AO2" s="25" t="s">
        <v>26</v>
      </c>
      <c r="AP2" s="25" t="s">
        <v>26</v>
      </c>
      <c r="AQ2" s="25" t="s">
        <v>26</v>
      </c>
      <c r="AR2" s="25" t="s">
        <v>26</v>
      </c>
      <c r="AS2" s="25" t="s">
        <v>26</v>
      </c>
      <c r="AT2" s="25" t="s">
        <v>26</v>
      </c>
      <c r="AU2" s="25" t="s">
        <v>26</v>
      </c>
      <c r="AV2" s="25" t="s">
        <v>27</v>
      </c>
      <c r="AW2" s="25" t="s">
        <v>27</v>
      </c>
      <c r="AX2" s="25" t="s">
        <v>27</v>
      </c>
      <c r="AY2" s="25" t="s">
        <v>28</v>
      </c>
      <c r="AZ2" s="25" t="s">
        <v>28</v>
      </c>
      <c r="BA2" s="25" t="s">
        <v>28</v>
      </c>
      <c r="BB2" s="25" t="s">
        <v>28</v>
      </c>
      <c r="BC2" s="25" t="s">
        <v>28</v>
      </c>
      <c r="BD2" s="25" t="s">
        <v>28</v>
      </c>
    </row>
    <row r="3" spans="1:60" ht="15" thickBot="1">
      <c r="C3" s="21"/>
      <c r="D3" s="207" t="s">
        <v>29</v>
      </c>
      <c r="E3" s="207"/>
      <c r="F3" s="207"/>
      <c r="G3" s="207"/>
      <c r="H3" s="207" t="s">
        <v>30</v>
      </c>
      <c r="I3" s="207"/>
      <c r="J3" s="207"/>
      <c r="K3" s="207"/>
      <c r="L3" s="207" t="s">
        <v>31</v>
      </c>
      <c r="M3" s="207"/>
      <c r="N3" s="207"/>
      <c r="O3" s="207"/>
      <c r="P3" s="207" t="s">
        <v>32</v>
      </c>
      <c r="Q3" s="207"/>
      <c r="R3" s="207"/>
      <c r="S3" s="207"/>
      <c r="T3" s="207" t="s">
        <v>33</v>
      </c>
      <c r="U3" s="207"/>
      <c r="V3" s="207"/>
      <c r="W3" s="207"/>
      <c r="X3" s="207" t="s">
        <v>34</v>
      </c>
      <c r="Y3" s="207"/>
      <c r="Z3" s="207"/>
      <c r="AA3" s="207"/>
      <c r="AB3" s="207" t="s">
        <v>35</v>
      </c>
      <c r="AC3" s="207"/>
      <c r="AD3" s="207"/>
      <c r="AE3" s="207"/>
      <c r="AF3" s="207" t="s">
        <v>36</v>
      </c>
      <c r="AG3" s="207"/>
      <c r="AH3" s="207"/>
      <c r="AI3" s="207"/>
      <c r="AJ3" s="207" t="s">
        <v>37</v>
      </c>
      <c r="AK3" s="207"/>
      <c r="AL3" s="207"/>
      <c r="AM3" s="207"/>
      <c r="AN3" s="207" t="s">
        <v>38</v>
      </c>
      <c r="AO3" s="207"/>
      <c r="AP3" s="207"/>
      <c r="AQ3" s="207"/>
      <c r="AR3" s="207" t="s">
        <v>39</v>
      </c>
      <c r="AS3" s="207"/>
      <c r="AT3" s="207"/>
      <c r="AU3" s="207"/>
      <c r="AV3" s="207" t="s">
        <v>40</v>
      </c>
      <c r="AW3" s="207"/>
      <c r="AX3" s="207"/>
      <c r="AY3" s="207"/>
      <c r="AZ3" s="207" t="s">
        <v>41</v>
      </c>
      <c r="BA3" s="207"/>
      <c r="BB3" s="207"/>
      <c r="BC3" s="207"/>
      <c r="BD3" s="35" t="s">
        <v>29</v>
      </c>
    </row>
    <row r="4" spans="1:60">
      <c r="C4" s="21"/>
      <c r="D4" s="28">
        <v>46076</v>
      </c>
      <c r="E4" s="29">
        <v>46083</v>
      </c>
      <c r="F4" s="28">
        <v>46090</v>
      </c>
      <c r="G4" s="29">
        <v>46097</v>
      </c>
      <c r="H4" s="28">
        <v>46104</v>
      </c>
      <c r="I4" s="29">
        <v>46111</v>
      </c>
      <c r="J4" s="28">
        <v>46118</v>
      </c>
      <c r="K4" s="29">
        <v>46125</v>
      </c>
      <c r="L4" s="28">
        <v>46132</v>
      </c>
      <c r="M4" s="29">
        <v>46139</v>
      </c>
      <c r="N4" s="28">
        <v>46146</v>
      </c>
      <c r="O4" s="29">
        <v>46153</v>
      </c>
      <c r="P4" s="28">
        <v>46160</v>
      </c>
      <c r="Q4" s="29">
        <v>46167</v>
      </c>
      <c r="R4" s="28">
        <v>46174</v>
      </c>
      <c r="S4" s="29">
        <v>46181</v>
      </c>
      <c r="T4" s="28">
        <v>46188</v>
      </c>
      <c r="U4" s="29">
        <v>46195</v>
      </c>
      <c r="V4" s="28">
        <v>46202</v>
      </c>
      <c r="W4" s="29">
        <v>46209</v>
      </c>
      <c r="X4" s="28">
        <v>46216</v>
      </c>
      <c r="Y4" s="29">
        <v>46223</v>
      </c>
      <c r="Z4" s="28">
        <v>46230</v>
      </c>
      <c r="AA4" s="29">
        <v>46237</v>
      </c>
      <c r="AB4" s="28">
        <v>46244</v>
      </c>
      <c r="AC4" s="29">
        <v>46251</v>
      </c>
      <c r="AD4" s="28">
        <v>46258</v>
      </c>
      <c r="AE4" s="29">
        <v>46265</v>
      </c>
      <c r="AF4" s="28">
        <v>46272</v>
      </c>
      <c r="AG4" s="29">
        <v>46279</v>
      </c>
      <c r="AH4" s="28">
        <v>46286</v>
      </c>
      <c r="AI4" s="29">
        <v>46293</v>
      </c>
      <c r="AJ4" s="28">
        <v>46300</v>
      </c>
      <c r="AK4" s="29">
        <v>46307</v>
      </c>
      <c r="AL4" s="28">
        <v>46314</v>
      </c>
      <c r="AM4" s="29">
        <v>46321</v>
      </c>
      <c r="AN4" s="28">
        <v>46328</v>
      </c>
      <c r="AO4" s="29">
        <v>46335</v>
      </c>
      <c r="AP4" s="28">
        <v>46342</v>
      </c>
      <c r="AQ4" s="29">
        <v>46349</v>
      </c>
      <c r="AR4" s="28">
        <v>46356</v>
      </c>
      <c r="AS4" s="29">
        <v>46363</v>
      </c>
      <c r="AT4" s="28">
        <v>46370</v>
      </c>
      <c r="AU4" s="29">
        <v>46377</v>
      </c>
      <c r="AV4" s="28">
        <v>46384</v>
      </c>
      <c r="AW4" s="29">
        <v>46391</v>
      </c>
      <c r="AX4" s="28">
        <v>46398</v>
      </c>
      <c r="AY4" s="29">
        <v>46405</v>
      </c>
      <c r="AZ4" s="28">
        <v>46412</v>
      </c>
      <c r="BA4" s="29">
        <v>46419</v>
      </c>
      <c r="BB4" s="28">
        <v>46426</v>
      </c>
      <c r="BC4" s="29">
        <v>46433</v>
      </c>
      <c r="BD4" s="28">
        <v>46440</v>
      </c>
    </row>
    <row r="5" spans="1:60">
      <c r="C5" s="21"/>
      <c r="D5" s="34">
        <v>53</v>
      </c>
      <c r="E5" s="30">
        <v>1</v>
      </c>
      <c r="F5" s="30">
        <v>2</v>
      </c>
      <c r="G5" s="30">
        <v>3</v>
      </c>
      <c r="H5" s="30">
        <v>4</v>
      </c>
      <c r="I5" s="30">
        <v>5</v>
      </c>
      <c r="J5" s="30">
        <v>6</v>
      </c>
      <c r="K5" s="30">
        <v>7</v>
      </c>
      <c r="L5" s="30">
        <v>8</v>
      </c>
      <c r="M5" s="30">
        <v>9</v>
      </c>
      <c r="N5" s="30">
        <v>10</v>
      </c>
      <c r="O5" s="30">
        <v>11</v>
      </c>
      <c r="P5" s="30">
        <v>12</v>
      </c>
      <c r="Q5" s="30">
        <v>13</v>
      </c>
      <c r="R5" s="30">
        <v>14</v>
      </c>
      <c r="S5" s="30">
        <v>15</v>
      </c>
      <c r="T5" s="30">
        <v>16</v>
      </c>
      <c r="U5" s="30">
        <v>17</v>
      </c>
      <c r="V5" s="30">
        <v>18</v>
      </c>
      <c r="W5" s="30">
        <v>19</v>
      </c>
      <c r="X5" s="30">
        <v>20</v>
      </c>
      <c r="Y5" s="30">
        <v>21</v>
      </c>
      <c r="Z5" s="30">
        <v>22</v>
      </c>
      <c r="AA5" s="30">
        <v>23</v>
      </c>
      <c r="AB5" s="30">
        <v>24</v>
      </c>
      <c r="AC5" s="30">
        <v>25</v>
      </c>
      <c r="AD5" s="30">
        <v>26</v>
      </c>
      <c r="AE5" s="30">
        <v>27</v>
      </c>
      <c r="AF5" s="30">
        <v>28</v>
      </c>
      <c r="AG5" s="30">
        <v>29</v>
      </c>
      <c r="AH5" s="30">
        <v>30</v>
      </c>
      <c r="AI5" s="30">
        <v>31</v>
      </c>
      <c r="AJ5" s="30">
        <v>32</v>
      </c>
      <c r="AK5" s="30">
        <v>33</v>
      </c>
      <c r="AL5" s="30">
        <v>34</v>
      </c>
      <c r="AM5" s="30">
        <v>35</v>
      </c>
      <c r="AN5" s="30">
        <v>36</v>
      </c>
      <c r="AO5" s="30">
        <v>37</v>
      </c>
      <c r="AP5" s="30">
        <v>38</v>
      </c>
      <c r="AQ5" s="30">
        <v>39</v>
      </c>
      <c r="AR5" s="30">
        <v>40</v>
      </c>
      <c r="AS5" s="30">
        <v>41</v>
      </c>
      <c r="AT5" s="30">
        <v>42</v>
      </c>
      <c r="AU5" s="30">
        <v>43</v>
      </c>
      <c r="AV5" s="30">
        <v>44</v>
      </c>
      <c r="AW5" s="30">
        <v>45</v>
      </c>
      <c r="AX5" s="30">
        <v>46</v>
      </c>
      <c r="AY5" s="30">
        <v>47</v>
      </c>
      <c r="AZ5" s="30">
        <v>48</v>
      </c>
      <c r="BA5" s="30">
        <v>49</v>
      </c>
      <c r="BB5" s="30">
        <v>50</v>
      </c>
      <c r="BC5" s="30">
        <v>51</v>
      </c>
      <c r="BD5" s="30">
        <v>52</v>
      </c>
    </row>
    <row r="6" spans="1:60" s="6" customFormat="1" ht="12.6" customHeight="1">
      <c r="A6" s="1"/>
      <c r="B6" s="2">
        <v>91489810</v>
      </c>
      <c r="C6" s="7" t="s">
        <v>42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v>10</v>
      </c>
      <c r="O6" s="3">
        <v>10</v>
      </c>
      <c r="P6" s="8"/>
      <c r="Q6" s="8"/>
      <c r="R6" s="9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10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11"/>
      <c r="BD6" s="4"/>
      <c r="BE6" s="5"/>
      <c r="BF6" s="5"/>
      <c r="BG6" s="5"/>
      <c r="BH6" s="5"/>
    </row>
    <row r="7" spans="1:60" s="6" customFormat="1" ht="12.6" customHeight="1">
      <c r="A7" s="1"/>
      <c r="B7" s="2">
        <v>81866499</v>
      </c>
      <c r="C7" s="7" t="s">
        <v>43</v>
      </c>
      <c r="D7" s="12">
        <v>17.5</v>
      </c>
      <c r="E7" s="12">
        <v>17.5</v>
      </c>
      <c r="F7" s="12">
        <v>17.5</v>
      </c>
      <c r="G7" s="13">
        <v>13</v>
      </c>
      <c r="H7" s="13">
        <v>13</v>
      </c>
      <c r="I7" s="13">
        <v>13</v>
      </c>
      <c r="J7" s="13">
        <v>13</v>
      </c>
      <c r="K7" s="13">
        <v>13</v>
      </c>
      <c r="L7" s="13">
        <v>13</v>
      </c>
      <c r="M7" s="12">
        <v>18</v>
      </c>
      <c r="N7" s="12">
        <v>18</v>
      </c>
      <c r="O7" s="12">
        <v>18</v>
      </c>
      <c r="P7" s="12">
        <v>18</v>
      </c>
      <c r="Q7" s="12">
        <v>18</v>
      </c>
      <c r="R7" s="12">
        <v>18</v>
      </c>
      <c r="S7" s="12">
        <v>18</v>
      </c>
      <c r="T7" s="13">
        <v>13</v>
      </c>
      <c r="U7" s="13">
        <v>13</v>
      </c>
      <c r="V7" s="13">
        <v>13</v>
      </c>
      <c r="W7" s="13">
        <v>13</v>
      </c>
      <c r="X7" s="12">
        <v>18</v>
      </c>
      <c r="Y7" s="12">
        <v>18</v>
      </c>
      <c r="Z7" s="12">
        <v>18</v>
      </c>
      <c r="AA7" s="12">
        <v>18</v>
      </c>
      <c r="AB7" s="13">
        <v>13.5</v>
      </c>
      <c r="AC7" s="13">
        <v>13.5</v>
      </c>
      <c r="AD7" s="13">
        <v>13.5</v>
      </c>
      <c r="AE7" s="13">
        <v>13.5</v>
      </c>
      <c r="AF7" s="12">
        <v>18</v>
      </c>
      <c r="AG7" s="12">
        <v>18</v>
      </c>
      <c r="AH7" s="12">
        <v>18</v>
      </c>
      <c r="AI7" s="12">
        <v>18</v>
      </c>
      <c r="AJ7" s="13">
        <v>13.5</v>
      </c>
      <c r="AK7" s="13">
        <v>13.5</v>
      </c>
      <c r="AL7" s="13">
        <v>13.5</v>
      </c>
      <c r="AM7" s="13">
        <v>13.5</v>
      </c>
      <c r="AN7" s="12">
        <v>18</v>
      </c>
      <c r="AO7" s="12">
        <v>18</v>
      </c>
      <c r="AP7" s="12">
        <v>18</v>
      </c>
      <c r="AQ7" s="12">
        <v>18</v>
      </c>
      <c r="AR7" s="13">
        <v>13</v>
      </c>
      <c r="AS7" s="13">
        <v>13</v>
      </c>
      <c r="AT7" s="13">
        <v>13</v>
      </c>
      <c r="AU7" s="13">
        <v>13</v>
      </c>
      <c r="AV7" s="14">
        <v>18</v>
      </c>
      <c r="AW7" s="14">
        <v>18</v>
      </c>
      <c r="AX7" s="14">
        <v>18</v>
      </c>
      <c r="AY7" s="14">
        <v>18</v>
      </c>
      <c r="AZ7" s="14">
        <v>18</v>
      </c>
      <c r="BA7" s="14">
        <v>18</v>
      </c>
      <c r="BB7" s="14">
        <v>18</v>
      </c>
      <c r="BC7" s="14">
        <v>18</v>
      </c>
      <c r="BD7" s="4"/>
      <c r="BE7" s="5"/>
      <c r="BF7" s="5"/>
      <c r="BG7" s="5"/>
      <c r="BH7" s="5"/>
    </row>
    <row r="8" spans="1:60" s="6" customFormat="1" ht="12.6" customHeight="1">
      <c r="A8" s="1"/>
      <c r="B8" s="2">
        <v>92542762</v>
      </c>
      <c r="C8" s="7" t="s">
        <v>44</v>
      </c>
      <c r="D8" s="12">
        <v>6.5</v>
      </c>
      <c r="E8" s="12">
        <v>6.5</v>
      </c>
      <c r="F8" s="12">
        <v>6.5</v>
      </c>
      <c r="G8" s="12">
        <v>6.5</v>
      </c>
      <c r="H8" s="13">
        <v>5.5</v>
      </c>
      <c r="I8" s="13">
        <v>5.5</v>
      </c>
      <c r="J8" s="13">
        <v>5.5</v>
      </c>
      <c r="K8" s="13">
        <v>5.5</v>
      </c>
      <c r="L8" s="13">
        <v>5.5</v>
      </c>
      <c r="M8" s="13">
        <v>5.5</v>
      </c>
      <c r="N8" s="13">
        <v>5.5</v>
      </c>
      <c r="O8" s="13">
        <v>5.5</v>
      </c>
      <c r="P8" s="12">
        <v>6.5</v>
      </c>
      <c r="Q8" s="12">
        <v>6.5</v>
      </c>
      <c r="R8" s="12">
        <v>6.5</v>
      </c>
      <c r="S8" s="12">
        <v>6.5</v>
      </c>
      <c r="T8" s="13">
        <v>5.5</v>
      </c>
      <c r="U8" s="13">
        <v>5.5</v>
      </c>
      <c r="V8" s="13">
        <v>5.5</v>
      </c>
      <c r="W8" s="13">
        <v>5.5</v>
      </c>
      <c r="X8" s="12">
        <v>6.5</v>
      </c>
      <c r="Y8" s="12">
        <v>6.5</v>
      </c>
      <c r="Z8" s="12">
        <v>6.5</v>
      </c>
      <c r="AA8" s="12">
        <v>6.5</v>
      </c>
      <c r="AB8" s="13">
        <v>5.5</v>
      </c>
      <c r="AC8" s="13">
        <v>5.5</v>
      </c>
      <c r="AD8" s="13">
        <v>5.5</v>
      </c>
      <c r="AE8" s="13">
        <v>5.5</v>
      </c>
      <c r="AF8" s="12">
        <v>6.5</v>
      </c>
      <c r="AG8" s="12">
        <v>6.5</v>
      </c>
      <c r="AH8" s="12">
        <v>6.5</v>
      </c>
      <c r="AI8" s="12">
        <v>6.5</v>
      </c>
      <c r="AJ8" s="13">
        <v>5.5</v>
      </c>
      <c r="AK8" s="13">
        <v>5.5</v>
      </c>
      <c r="AL8" s="13">
        <v>5.5</v>
      </c>
      <c r="AM8" s="13">
        <v>5.5</v>
      </c>
      <c r="AN8" s="12">
        <v>6.5</v>
      </c>
      <c r="AO8" s="12">
        <v>6.5</v>
      </c>
      <c r="AP8" s="12">
        <v>6.5</v>
      </c>
      <c r="AQ8" s="12">
        <v>6.5</v>
      </c>
      <c r="AR8" s="13">
        <v>5.5</v>
      </c>
      <c r="AS8" s="13">
        <v>5.5</v>
      </c>
      <c r="AT8" s="13">
        <v>5.5</v>
      </c>
      <c r="AU8" s="13">
        <v>5.5</v>
      </c>
      <c r="AV8" s="15">
        <v>7</v>
      </c>
      <c r="AW8" s="15">
        <v>7</v>
      </c>
      <c r="AX8" s="15">
        <v>7</v>
      </c>
      <c r="AY8" s="15">
        <v>7</v>
      </c>
      <c r="AZ8" s="13">
        <v>5.5</v>
      </c>
      <c r="BA8" s="13">
        <v>5.5</v>
      </c>
      <c r="BB8" s="13">
        <v>5.5</v>
      </c>
      <c r="BC8" s="13">
        <v>5.5</v>
      </c>
      <c r="BD8" s="4"/>
      <c r="BE8" s="5"/>
    </row>
    <row r="9" spans="1:60" s="6" customFormat="1" ht="12.6" customHeight="1">
      <c r="A9" s="1"/>
      <c r="B9" s="2">
        <v>92542762</v>
      </c>
      <c r="C9" s="16" t="s">
        <v>45</v>
      </c>
      <c r="D9" s="13">
        <v>5.75</v>
      </c>
      <c r="E9" s="13">
        <v>5.75</v>
      </c>
      <c r="F9" s="13">
        <v>5.75</v>
      </c>
      <c r="G9" s="13">
        <v>5.75</v>
      </c>
      <c r="H9" s="12">
        <v>7.5</v>
      </c>
      <c r="I9" s="12">
        <v>7.5</v>
      </c>
      <c r="J9" s="12">
        <v>7.5</v>
      </c>
      <c r="K9" s="12">
        <v>7.5</v>
      </c>
      <c r="L9" s="13">
        <v>6</v>
      </c>
      <c r="M9" s="13">
        <v>6</v>
      </c>
      <c r="N9" s="13">
        <v>6</v>
      </c>
      <c r="O9" s="13">
        <v>6</v>
      </c>
      <c r="P9" s="12">
        <v>7.5</v>
      </c>
      <c r="Q9" s="12">
        <v>7.5</v>
      </c>
      <c r="R9" s="12">
        <v>7.5</v>
      </c>
      <c r="S9" s="12">
        <v>7.5</v>
      </c>
      <c r="T9" s="13">
        <v>6</v>
      </c>
      <c r="U9" s="13">
        <v>6</v>
      </c>
      <c r="V9" s="13">
        <v>6</v>
      </c>
      <c r="W9" s="13">
        <v>6</v>
      </c>
      <c r="X9" s="13">
        <v>6</v>
      </c>
      <c r="Y9" s="13">
        <v>6</v>
      </c>
      <c r="Z9" s="13">
        <v>6</v>
      </c>
      <c r="AA9" s="13">
        <v>6</v>
      </c>
      <c r="AB9" s="12">
        <v>7.5</v>
      </c>
      <c r="AC9" s="12">
        <v>7.5</v>
      </c>
      <c r="AD9" s="12">
        <v>7.5</v>
      </c>
      <c r="AE9" s="12">
        <v>7.5</v>
      </c>
      <c r="AF9" s="13">
        <v>6</v>
      </c>
      <c r="AG9" s="13">
        <v>6</v>
      </c>
      <c r="AH9" s="13">
        <v>6</v>
      </c>
      <c r="AI9" s="13">
        <v>6</v>
      </c>
      <c r="AJ9" s="12">
        <v>7.5</v>
      </c>
      <c r="AK9" s="12">
        <v>7.5</v>
      </c>
      <c r="AL9" s="12">
        <v>7.5</v>
      </c>
      <c r="AM9" s="12">
        <v>7.5</v>
      </c>
      <c r="AN9" s="13">
        <v>6</v>
      </c>
      <c r="AO9" s="13">
        <v>6</v>
      </c>
      <c r="AP9" s="13">
        <v>6</v>
      </c>
      <c r="AQ9" s="13">
        <v>6</v>
      </c>
      <c r="AR9" s="13">
        <v>6</v>
      </c>
      <c r="AS9" s="13">
        <v>6</v>
      </c>
      <c r="AT9" s="13">
        <v>6</v>
      </c>
      <c r="AU9" s="13">
        <v>6</v>
      </c>
      <c r="AV9" s="12">
        <v>7.5</v>
      </c>
      <c r="AW9" s="12">
        <v>7.5</v>
      </c>
      <c r="AX9" s="12">
        <v>7.5</v>
      </c>
      <c r="AY9" s="12">
        <v>7.5</v>
      </c>
      <c r="AZ9" s="13">
        <v>6</v>
      </c>
      <c r="BA9" s="13">
        <v>6</v>
      </c>
      <c r="BB9" s="13">
        <v>6</v>
      </c>
      <c r="BC9" s="13">
        <v>6</v>
      </c>
      <c r="BD9" s="4"/>
      <c r="BE9" s="5"/>
    </row>
    <row r="10" spans="1:60" s="6" customFormat="1" ht="12.6" customHeight="1">
      <c r="A10" s="1"/>
      <c r="B10" s="2">
        <v>93935048</v>
      </c>
      <c r="C10" s="7" t="s">
        <v>46</v>
      </c>
      <c r="D10" s="10"/>
      <c r="E10" s="10"/>
      <c r="F10" s="17"/>
      <c r="G10" s="18"/>
      <c r="H10" s="18"/>
      <c r="I10" s="10"/>
      <c r="J10" s="8"/>
      <c r="K10" s="8"/>
      <c r="L10" s="3">
        <v>11</v>
      </c>
      <c r="M10" s="3">
        <v>11</v>
      </c>
      <c r="N10" s="3">
        <v>11</v>
      </c>
      <c r="O10" s="3">
        <v>11</v>
      </c>
      <c r="P10" s="3">
        <v>11</v>
      </c>
      <c r="Q10" s="33">
        <v>11</v>
      </c>
      <c r="R10" s="33">
        <v>11</v>
      </c>
      <c r="S10" s="33">
        <v>11</v>
      </c>
      <c r="T10" s="33">
        <v>11</v>
      </c>
      <c r="U10" s="31">
        <v>16.75</v>
      </c>
      <c r="V10" s="31">
        <v>16.75</v>
      </c>
      <c r="W10" s="31">
        <v>16.75</v>
      </c>
      <c r="X10" s="13">
        <v>11</v>
      </c>
      <c r="Y10" s="13">
        <v>11</v>
      </c>
      <c r="Z10" s="13">
        <v>11</v>
      </c>
      <c r="AA10" s="13">
        <v>11</v>
      </c>
      <c r="AB10" s="31">
        <v>16.75</v>
      </c>
      <c r="AC10" s="31">
        <v>16.75</v>
      </c>
      <c r="AD10" s="31">
        <v>16.75</v>
      </c>
      <c r="AE10" s="33">
        <v>12</v>
      </c>
      <c r="AF10" s="33">
        <v>12</v>
      </c>
      <c r="AG10" s="33">
        <v>12</v>
      </c>
      <c r="AH10" s="33">
        <v>12</v>
      </c>
      <c r="AI10" s="33">
        <v>12</v>
      </c>
      <c r="AJ10" s="31">
        <v>16.75</v>
      </c>
      <c r="AK10" s="31">
        <v>16.75</v>
      </c>
      <c r="AL10" s="31">
        <v>16.75</v>
      </c>
      <c r="AM10" s="31">
        <v>16.75</v>
      </c>
      <c r="AN10" s="3">
        <v>12</v>
      </c>
      <c r="AO10" s="3">
        <v>12</v>
      </c>
      <c r="AP10" s="3">
        <v>12</v>
      </c>
      <c r="AQ10" s="3">
        <v>12</v>
      </c>
      <c r="AR10" s="3">
        <v>12</v>
      </c>
      <c r="AS10" s="3">
        <v>12</v>
      </c>
      <c r="AT10" s="3">
        <v>12</v>
      </c>
      <c r="AU10" s="3">
        <v>12</v>
      </c>
      <c r="AV10" s="31">
        <v>16.75</v>
      </c>
      <c r="AW10" s="31">
        <v>16.75</v>
      </c>
      <c r="AX10" s="31">
        <v>16.75</v>
      </c>
      <c r="AY10" s="31">
        <v>16.75</v>
      </c>
      <c r="AZ10" s="3">
        <v>12</v>
      </c>
      <c r="BA10" s="3">
        <v>12</v>
      </c>
      <c r="BB10" s="3">
        <v>12</v>
      </c>
      <c r="BC10" s="3">
        <v>12</v>
      </c>
      <c r="BD10" s="19"/>
      <c r="BE10" s="5"/>
      <c r="BF10" s="5"/>
      <c r="BG10" s="5"/>
      <c r="BH10" s="5"/>
    </row>
    <row r="11" spans="1:60" s="6" customFormat="1" ht="12.6" customHeight="1">
      <c r="A11" s="1"/>
      <c r="B11" s="2">
        <v>97167600</v>
      </c>
      <c r="C11" s="7" t="s">
        <v>47</v>
      </c>
      <c r="D11" s="32">
        <v>5</v>
      </c>
      <c r="E11" s="32">
        <v>5</v>
      </c>
      <c r="F11" s="32">
        <v>5</v>
      </c>
      <c r="G11" s="32">
        <v>5</v>
      </c>
      <c r="H11" s="3">
        <v>4</v>
      </c>
      <c r="I11" s="3">
        <v>4</v>
      </c>
      <c r="J11" s="3">
        <v>4</v>
      </c>
      <c r="K11" s="3">
        <v>4</v>
      </c>
      <c r="L11" s="32">
        <v>5</v>
      </c>
      <c r="M11" s="32">
        <v>5</v>
      </c>
      <c r="N11" s="32">
        <v>5</v>
      </c>
      <c r="O11" s="32">
        <v>5</v>
      </c>
      <c r="P11" s="3">
        <v>4</v>
      </c>
      <c r="Q11" s="3">
        <v>4</v>
      </c>
      <c r="R11" s="3">
        <v>4</v>
      </c>
      <c r="S11" s="3">
        <v>4</v>
      </c>
      <c r="T11" s="32">
        <v>5</v>
      </c>
      <c r="U11" s="32">
        <v>5</v>
      </c>
      <c r="V11" s="32">
        <v>5</v>
      </c>
      <c r="W11" s="32">
        <v>5</v>
      </c>
      <c r="X11" s="3">
        <v>4</v>
      </c>
      <c r="Y11" s="3">
        <v>4</v>
      </c>
      <c r="Z11" s="3">
        <v>4</v>
      </c>
      <c r="AA11" s="3">
        <v>4</v>
      </c>
      <c r="AB11" s="32">
        <v>5</v>
      </c>
      <c r="AC11" s="32">
        <v>5</v>
      </c>
      <c r="AD11" s="32">
        <v>5</v>
      </c>
      <c r="AE11" s="32">
        <v>5</v>
      </c>
      <c r="AF11" s="3">
        <v>4</v>
      </c>
      <c r="AG11" s="3">
        <v>4</v>
      </c>
      <c r="AH11" s="3">
        <v>4</v>
      </c>
      <c r="AI11" s="3">
        <v>4</v>
      </c>
      <c r="AJ11" s="3">
        <v>4</v>
      </c>
      <c r="AK11" s="3">
        <v>4</v>
      </c>
      <c r="AL11" s="3">
        <v>4</v>
      </c>
      <c r="AM11" s="3">
        <v>4</v>
      </c>
      <c r="AN11" s="32">
        <v>5</v>
      </c>
      <c r="AO11" s="32">
        <v>5</v>
      </c>
      <c r="AP11" s="32">
        <v>5</v>
      </c>
      <c r="AQ11" s="32">
        <v>5</v>
      </c>
      <c r="AR11" s="3">
        <v>4</v>
      </c>
      <c r="AS11" s="3">
        <v>4</v>
      </c>
      <c r="AT11" s="3">
        <v>4</v>
      </c>
      <c r="AU11" s="3">
        <v>4</v>
      </c>
      <c r="AV11" s="3">
        <v>4</v>
      </c>
      <c r="AW11" s="3">
        <v>4</v>
      </c>
      <c r="AX11" s="3">
        <v>4</v>
      </c>
      <c r="AY11" s="3">
        <v>4</v>
      </c>
      <c r="AZ11" s="32">
        <v>5</v>
      </c>
      <c r="BA11" s="32">
        <v>5</v>
      </c>
      <c r="BB11" s="32">
        <v>5</v>
      </c>
      <c r="BC11" s="32">
        <v>5</v>
      </c>
      <c r="BD11" s="3">
        <v>4</v>
      </c>
      <c r="BE11" s="5"/>
      <c r="BF11" s="5"/>
      <c r="BG11" s="5"/>
      <c r="BH11" s="5"/>
    </row>
    <row r="12" spans="1:60" s="6" customFormat="1" ht="11.45">
      <c r="A12" s="1"/>
      <c r="B12" s="2">
        <v>97780362</v>
      </c>
      <c r="C12" s="20" t="s">
        <v>48</v>
      </c>
      <c r="D12" s="10"/>
      <c r="E12" s="10"/>
      <c r="F12" s="17"/>
      <c r="G12" s="18"/>
      <c r="H12" s="18"/>
      <c r="I12" s="10"/>
      <c r="J12" s="8"/>
      <c r="K12" s="10"/>
      <c r="L12" s="13">
        <v>6.25</v>
      </c>
      <c r="M12" s="13">
        <v>6.25</v>
      </c>
      <c r="N12" s="13">
        <v>6.25</v>
      </c>
      <c r="O12" s="13">
        <v>6.25</v>
      </c>
      <c r="P12" s="13">
        <v>6.25</v>
      </c>
      <c r="Q12" s="13">
        <v>6.25</v>
      </c>
      <c r="R12" s="13">
        <v>6.25</v>
      </c>
      <c r="S12" s="13">
        <v>6.25</v>
      </c>
      <c r="T12" s="12">
        <v>7.25</v>
      </c>
      <c r="U12" s="12">
        <v>7.25</v>
      </c>
      <c r="V12" s="12">
        <v>7.25</v>
      </c>
      <c r="W12" s="12">
        <v>7.25</v>
      </c>
      <c r="X12" s="13">
        <v>6.25</v>
      </c>
      <c r="Y12" s="13">
        <v>6.25</v>
      </c>
      <c r="Z12" s="13">
        <v>6.25</v>
      </c>
      <c r="AA12" s="13">
        <v>6.25</v>
      </c>
      <c r="AB12" s="12">
        <v>7.25</v>
      </c>
      <c r="AC12" s="12">
        <v>7.25</v>
      </c>
      <c r="AD12" s="12">
        <v>7.25</v>
      </c>
      <c r="AE12" s="12">
        <v>7.25</v>
      </c>
      <c r="AF12" s="13">
        <v>6.25</v>
      </c>
      <c r="AG12" s="13">
        <v>6.25</v>
      </c>
      <c r="AH12" s="13">
        <v>6.25</v>
      </c>
      <c r="AI12" s="13">
        <v>6.25</v>
      </c>
      <c r="AJ12" s="12">
        <v>7.25</v>
      </c>
      <c r="AK12" s="12">
        <v>7.25</v>
      </c>
      <c r="AL12" s="12">
        <v>7.25</v>
      </c>
      <c r="AM12" s="12">
        <v>7.25</v>
      </c>
      <c r="AN12" s="13">
        <v>6.25</v>
      </c>
      <c r="AO12" s="13">
        <v>6.25</v>
      </c>
      <c r="AP12" s="13">
        <v>6.25</v>
      </c>
      <c r="AQ12" s="13">
        <v>6.25</v>
      </c>
      <c r="AR12" s="12">
        <v>7.25</v>
      </c>
      <c r="AS12" s="12">
        <v>7.25</v>
      </c>
      <c r="AT12" s="12">
        <v>7.25</v>
      </c>
      <c r="AU12" s="12">
        <v>7.25</v>
      </c>
      <c r="AV12" s="13">
        <v>6.25</v>
      </c>
      <c r="AW12" s="13">
        <v>6.25</v>
      </c>
      <c r="AX12" s="13">
        <v>6.25</v>
      </c>
      <c r="AY12" s="13">
        <v>6.25</v>
      </c>
      <c r="AZ12" s="12">
        <v>7.25</v>
      </c>
      <c r="BA12" s="12">
        <v>7.25</v>
      </c>
      <c r="BB12" s="12">
        <v>7.25</v>
      </c>
      <c r="BC12" s="12">
        <v>7.25</v>
      </c>
      <c r="BD12" s="4"/>
      <c r="BE12" s="5"/>
      <c r="BF12" s="5"/>
      <c r="BG12" s="5"/>
      <c r="BH12" s="5"/>
    </row>
    <row r="13" spans="1:60">
      <c r="I13" t="s">
        <v>49</v>
      </c>
    </row>
  </sheetData>
  <mergeCells count="13">
    <mergeCell ref="AZ3:BC3"/>
    <mergeCell ref="AB3:AE3"/>
    <mergeCell ref="AF3:AI3"/>
    <mergeCell ref="AJ3:AM3"/>
    <mergeCell ref="AN3:AQ3"/>
    <mergeCell ref="AR3:AU3"/>
    <mergeCell ref="AV3:AY3"/>
    <mergeCell ref="X3:AA3"/>
    <mergeCell ref="D3:G3"/>
    <mergeCell ref="H3:K3"/>
    <mergeCell ref="L3:O3"/>
    <mergeCell ref="P3:S3"/>
    <mergeCell ref="T3:W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3544-8C3C-49D1-BB2E-79DF5168EDFB}">
  <dimension ref="A1:EV505"/>
  <sheetViews>
    <sheetView zoomScale="85" zoomScaleNormal="85" workbookViewId="0">
      <pane xSplit="1" ySplit="4" topLeftCell="B5" activePane="bottomRight" state="frozen"/>
      <selection pane="bottomRight" activeCell="C23" sqref="C23"/>
      <selection pane="bottomLeft" activeCell="A6" sqref="A6"/>
      <selection pane="topRight" activeCell="D1" sqref="D1"/>
    </sheetView>
  </sheetViews>
  <sheetFormatPr defaultRowHeight="14.45"/>
  <cols>
    <col min="1" max="1" width="29.5703125" bestFit="1" customWidth="1"/>
    <col min="2" max="2" width="10" bestFit="1" customWidth="1"/>
    <col min="54" max="152" width="8.85546875" style="53"/>
  </cols>
  <sheetData>
    <row r="1" spans="1:152" ht="11.45" customHeight="1" thickBot="1">
      <c r="A1" s="214"/>
      <c r="X1" s="44" t="s">
        <v>50</v>
      </c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 s="57"/>
    </row>
    <row r="2" spans="1:152" ht="15" thickBot="1">
      <c r="A2" s="215"/>
      <c r="B2" s="209" t="s">
        <v>51</v>
      </c>
      <c r="C2" s="209"/>
      <c r="D2" s="210"/>
      <c r="E2" s="208" t="s">
        <v>52</v>
      </c>
      <c r="F2" s="210"/>
      <c r="G2" s="208" t="s">
        <v>52</v>
      </c>
      <c r="H2" s="209"/>
      <c r="I2" s="210"/>
      <c r="J2" s="208" t="s">
        <v>53</v>
      </c>
      <c r="K2" s="209"/>
      <c r="L2" s="210"/>
      <c r="M2" s="208" t="s">
        <v>54</v>
      </c>
      <c r="N2" s="209"/>
      <c r="O2" s="210"/>
      <c r="P2" s="208" t="s">
        <v>55</v>
      </c>
      <c r="Q2" s="209"/>
      <c r="R2" s="210"/>
      <c r="S2" s="208" t="s">
        <v>56</v>
      </c>
      <c r="T2" s="209"/>
      <c r="U2" s="210"/>
      <c r="V2" s="208" t="s">
        <v>57</v>
      </c>
      <c r="W2" s="209"/>
      <c r="X2" s="210"/>
      <c r="Y2" s="208" t="s">
        <v>58</v>
      </c>
      <c r="Z2" s="209"/>
      <c r="AA2" s="210"/>
      <c r="AB2" s="208" t="s">
        <v>59</v>
      </c>
      <c r="AC2" s="209"/>
      <c r="AD2" s="210"/>
      <c r="AE2" s="208" t="s">
        <v>60</v>
      </c>
      <c r="AF2" s="209"/>
      <c r="AG2" s="210"/>
      <c r="AH2" s="208" t="s">
        <v>61</v>
      </c>
      <c r="AI2" s="209"/>
      <c r="AJ2" s="210"/>
      <c r="AK2" s="208" t="s">
        <v>62</v>
      </c>
      <c r="AL2" s="209"/>
      <c r="AM2" s="210"/>
      <c r="AN2" s="208" t="s">
        <v>63</v>
      </c>
      <c r="AO2" s="209"/>
      <c r="AP2" s="210"/>
      <c r="AQ2" s="208" t="s">
        <v>64</v>
      </c>
      <c r="AR2" s="209"/>
      <c r="AS2" s="210"/>
      <c r="AT2" s="208" t="s">
        <v>65</v>
      </c>
      <c r="AU2" s="209"/>
      <c r="AV2" s="210"/>
      <c r="AW2" s="211" t="s">
        <v>66</v>
      </c>
      <c r="AX2" s="212"/>
      <c r="AY2" s="213"/>
      <c r="AZ2" s="208" t="s">
        <v>67</v>
      </c>
      <c r="BA2" s="210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 s="58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</row>
    <row r="3" spans="1:152">
      <c r="A3" s="215"/>
      <c r="B3" s="111">
        <v>46024</v>
      </c>
      <c r="C3" s="37">
        <f>B3+5</f>
        <v>46029</v>
      </c>
      <c r="D3" s="85">
        <f>C3+7</f>
        <v>46036</v>
      </c>
      <c r="E3" s="37">
        <f>D3+7</f>
        <v>46043</v>
      </c>
      <c r="F3" s="85">
        <f t="shared" ref="F3:BA3" si="0">E3+7</f>
        <v>46050</v>
      </c>
      <c r="G3" s="37">
        <f t="shared" si="0"/>
        <v>46057</v>
      </c>
      <c r="H3" s="37">
        <f t="shared" si="0"/>
        <v>46064</v>
      </c>
      <c r="I3" s="85">
        <f t="shared" si="0"/>
        <v>46071</v>
      </c>
      <c r="J3" s="37">
        <f t="shared" si="0"/>
        <v>46078</v>
      </c>
      <c r="K3" s="37">
        <f t="shared" si="0"/>
        <v>46085</v>
      </c>
      <c r="L3" s="85">
        <f t="shared" si="0"/>
        <v>46092</v>
      </c>
      <c r="M3" s="37">
        <f t="shared" si="0"/>
        <v>46099</v>
      </c>
      <c r="N3" s="37">
        <f t="shared" si="0"/>
        <v>46106</v>
      </c>
      <c r="O3" s="85">
        <f t="shared" si="0"/>
        <v>46113</v>
      </c>
      <c r="P3" s="37">
        <f t="shared" si="0"/>
        <v>46120</v>
      </c>
      <c r="Q3" s="37">
        <f t="shared" si="0"/>
        <v>46127</v>
      </c>
      <c r="R3" s="85">
        <f t="shared" si="0"/>
        <v>46134</v>
      </c>
      <c r="S3" s="37">
        <f t="shared" si="0"/>
        <v>46141</v>
      </c>
      <c r="T3" s="37">
        <f t="shared" si="0"/>
        <v>46148</v>
      </c>
      <c r="U3" s="85">
        <f t="shared" si="0"/>
        <v>46155</v>
      </c>
      <c r="V3" s="37">
        <f t="shared" si="0"/>
        <v>46162</v>
      </c>
      <c r="W3" s="37">
        <f t="shared" si="0"/>
        <v>46169</v>
      </c>
      <c r="X3" s="85">
        <f t="shared" si="0"/>
        <v>46176</v>
      </c>
      <c r="Y3" s="37">
        <f t="shared" si="0"/>
        <v>46183</v>
      </c>
      <c r="Z3" s="37">
        <f t="shared" si="0"/>
        <v>46190</v>
      </c>
      <c r="AA3" s="85">
        <f t="shared" si="0"/>
        <v>46197</v>
      </c>
      <c r="AB3" s="37">
        <f t="shared" si="0"/>
        <v>46204</v>
      </c>
      <c r="AC3" s="37">
        <f t="shared" si="0"/>
        <v>46211</v>
      </c>
      <c r="AD3" s="85">
        <f t="shared" si="0"/>
        <v>46218</v>
      </c>
      <c r="AE3" s="37">
        <f t="shared" si="0"/>
        <v>46225</v>
      </c>
      <c r="AF3" s="37">
        <f t="shared" si="0"/>
        <v>46232</v>
      </c>
      <c r="AG3" s="85">
        <f t="shared" si="0"/>
        <v>46239</v>
      </c>
      <c r="AH3" s="37">
        <f t="shared" si="0"/>
        <v>46246</v>
      </c>
      <c r="AI3" s="37">
        <f t="shared" si="0"/>
        <v>46253</v>
      </c>
      <c r="AJ3" s="85">
        <f t="shared" si="0"/>
        <v>46260</v>
      </c>
      <c r="AK3" s="37">
        <f t="shared" si="0"/>
        <v>46267</v>
      </c>
      <c r="AL3" s="37">
        <f t="shared" si="0"/>
        <v>46274</v>
      </c>
      <c r="AM3" s="85">
        <f t="shared" si="0"/>
        <v>46281</v>
      </c>
      <c r="AN3" s="37">
        <f t="shared" si="0"/>
        <v>46288</v>
      </c>
      <c r="AO3" s="37">
        <f t="shared" si="0"/>
        <v>46295</v>
      </c>
      <c r="AP3" s="85">
        <f t="shared" si="0"/>
        <v>46302</v>
      </c>
      <c r="AQ3" s="37">
        <f t="shared" si="0"/>
        <v>46309</v>
      </c>
      <c r="AR3" s="37">
        <f t="shared" si="0"/>
        <v>46316</v>
      </c>
      <c r="AS3" s="85">
        <f t="shared" si="0"/>
        <v>46323</v>
      </c>
      <c r="AT3" s="37">
        <f t="shared" si="0"/>
        <v>46330</v>
      </c>
      <c r="AU3" s="37">
        <f t="shared" si="0"/>
        <v>46337</v>
      </c>
      <c r="AV3" s="85">
        <f t="shared" si="0"/>
        <v>46344</v>
      </c>
      <c r="AW3" s="50">
        <f t="shared" si="0"/>
        <v>46351</v>
      </c>
      <c r="AX3" s="59">
        <f t="shared" si="0"/>
        <v>46358</v>
      </c>
      <c r="AY3" s="76">
        <f t="shared" si="0"/>
        <v>46365</v>
      </c>
      <c r="AZ3" s="60">
        <f t="shared" si="0"/>
        <v>46372</v>
      </c>
      <c r="BA3" s="61">
        <f t="shared" si="0"/>
        <v>46379</v>
      </c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</row>
    <row r="4" spans="1:152" s="36" customFormat="1" ht="15" thickBot="1">
      <c r="A4" s="216"/>
      <c r="B4" s="112">
        <v>1</v>
      </c>
      <c r="C4" s="38">
        <v>2</v>
      </c>
      <c r="D4" s="63">
        <v>3</v>
      </c>
      <c r="E4" s="62">
        <v>4</v>
      </c>
      <c r="F4" s="63">
        <v>5</v>
      </c>
      <c r="G4" s="62">
        <v>6</v>
      </c>
      <c r="H4" s="38">
        <v>7</v>
      </c>
      <c r="I4" s="63">
        <v>8</v>
      </c>
      <c r="J4" s="62">
        <v>9</v>
      </c>
      <c r="K4" s="38">
        <v>10</v>
      </c>
      <c r="L4" s="63">
        <v>11</v>
      </c>
      <c r="M4" s="62">
        <v>12</v>
      </c>
      <c r="N4" s="38">
        <v>13</v>
      </c>
      <c r="O4" s="63">
        <v>14</v>
      </c>
      <c r="P4" s="62">
        <v>15</v>
      </c>
      <c r="Q4" s="38">
        <v>16</v>
      </c>
      <c r="R4" s="63">
        <v>17</v>
      </c>
      <c r="S4" s="62">
        <v>18</v>
      </c>
      <c r="T4" s="38">
        <v>19</v>
      </c>
      <c r="U4" s="63">
        <v>20</v>
      </c>
      <c r="V4" s="62">
        <v>21</v>
      </c>
      <c r="W4" s="38">
        <v>22</v>
      </c>
      <c r="X4" s="63">
        <v>23</v>
      </c>
      <c r="Y4" s="62">
        <v>24</v>
      </c>
      <c r="Z4" s="38">
        <v>25</v>
      </c>
      <c r="AA4" s="63">
        <v>26</v>
      </c>
      <c r="AB4" s="62">
        <v>27</v>
      </c>
      <c r="AC4" s="38">
        <v>28</v>
      </c>
      <c r="AD4" s="63">
        <v>29</v>
      </c>
      <c r="AE4" s="62">
        <v>30</v>
      </c>
      <c r="AF4" s="38">
        <v>31</v>
      </c>
      <c r="AG4" s="63">
        <v>32</v>
      </c>
      <c r="AH4" s="62">
        <v>33</v>
      </c>
      <c r="AI4" s="38">
        <v>34</v>
      </c>
      <c r="AJ4" s="63">
        <v>35</v>
      </c>
      <c r="AK4" s="62">
        <v>36</v>
      </c>
      <c r="AL4" s="38">
        <v>37</v>
      </c>
      <c r="AM4" s="63">
        <v>38</v>
      </c>
      <c r="AN4" s="62">
        <v>39</v>
      </c>
      <c r="AO4" s="38">
        <v>40</v>
      </c>
      <c r="AP4" s="63">
        <v>41</v>
      </c>
      <c r="AQ4" s="62">
        <v>42</v>
      </c>
      <c r="AR4" s="38">
        <v>43</v>
      </c>
      <c r="AS4" s="63">
        <v>44</v>
      </c>
      <c r="AT4" s="62">
        <v>45</v>
      </c>
      <c r="AU4" s="38">
        <v>46</v>
      </c>
      <c r="AV4" s="63">
        <v>47</v>
      </c>
      <c r="AW4" s="77">
        <v>48</v>
      </c>
      <c r="AX4" s="38">
        <v>49</v>
      </c>
      <c r="AY4" s="63">
        <v>50</v>
      </c>
      <c r="AZ4" s="62">
        <v>51</v>
      </c>
      <c r="BA4" s="63">
        <v>52</v>
      </c>
    </row>
    <row r="5" spans="1:152" s="6" customFormat="1" ht="12.6" customHeight="1">
      <c r="A5" s="113" t="s">
        <v>43</v>
      </c>
      <c r="B5" s="66"/>
      <c r="C5" s="39"/>
      <c r="D5" s="67"/>
      <c r="E5" s="66"/>
      <c r="F5" s="67"/>
      <c r="G5" s="66"/>
      <c r="H5" s="39">
        <v>13</v>
      </c>
      <c r="I5" s="67">
        <v>13</v>
      </c>
      <c r="J5" s="66"/>
      <c r="K5" s="39"/>
      <c r="L5" s="67"/>
      <c r="M5" s="66">
        <v>13.5</v>
      </c>
      <c r="N5" s="39">
        <v>13.5</v>
      </c>
      <c r="O5" s="67">
        <v>13.5</v>
      </c>
      <c r="P5" s="99"/>
      <c r="Q5" s="40"/>
      <c r="R5" s="65"/>
      <c r="S5" s="64">
        <v>13</v>
      </c>
      <c r="T5" s="40">
        <v>13</v>
      </c>
      <c r="U5" s="65">
        <v>13</v>
      </c>
      <c r="V5" s="64">
        <v>13</v>
      </c>
      <c r="W5" s="40">
        <v>13</v>
      </c>
      <c r="X5" s="65">
        <v>13</v>
      </c>
      <c r="Y5" s="64"/>
      <c r="Z5" s="40"/>
      <c r="AA5" s="65"/>
      <c r="AB5" s="64">
        <v>13</v>
      </c>
      <c r="AC5" s="40">
        <v>13</v>
      </c>
      <c r="AD5" s="67">
        <v>13</v>
      </c>
      <c r="AE5" s="64"/>
      <c r="AF5" s="40"/>
      <c r="AG5" s="65"/>
      <c r="AH5" s="64">
        <v>13</v>
      </c>
      <c r="AI5" s="40">
        <v>13</v>
      </c>
      <c r="AJ5" s="65">
        <v>13</v>
      </c>
      <c r="AK5" s="64"/>
      <c r="AL5" s="40"/>
      <c r="AM5" s="65"/>
      <c r="AN5" s="64">
        <v>13.5</v>
      </c>
      <c r="AO5" s="40">
        <v>13.5</v>
      </c>
      <c r="AP5" s="65">
        <v>13.5</v>
      </c>
      <c r="AQ5" s="64"/>
      <c r="AR5" s="40"/>
      <c r="AS5" s="65"/>
      <c r="AT5" s="64"/>
      <c r="AU5" s="40"/>
      <c r="AV5" s="65"/>
      <c r="AW5" s="78">
        <v>13</v>
      </c>
      <c r="AX5" s="40">
        <v>13</v>
      </c>
      <c r="AY5" s="65">
        <v>13</v>
      </c>
      <c r="AZ5" s="64">
        <v>12</v>
      </c>
      <c r="BA5" s="65">
        <v>12</v>
      </c>
      <c r="BB5" s="55"/>
      <c r="BC5" s="55"/>
      <c r="BD5" s="55"/>
      <c r="BE5" s="55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6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</row>
    <row r="6" spans="1:152" s="6" customFormat="1" ht="12.6" customHeight="1">
      <c r="A6" s="107" t="s">
        <v>68</v>
      </c>
      <c r="B6" s="64"/>
      <c r="C6" s="40"/>
      <c r="D6" s="65"/>
      <c r="E6" s="64"/>
      <c r="F6" s="65"/>
      <c r="G6" s="64"/>
      <c r="H6" s="40">
        <v>12</v>
      </c>
      <c r="I6" s="65">
        <v>12</v>
      </c>
      <c r="J6" s="64"/>
      <c r="K6" s="40"/>
      <c r="L6" s="65"/>
      <c r="M6" s="64" t="s">
        <v>69</v>
      </c>
      <c r="N6" s="40" t="s">
        <v>69</v>
      </c>
      <c r="O6" s="65" t="s">
        <v>69</v>
      </c>
      <c r="P6" s="64">
        <v>12</v>
      </c>
      <c r="Q6" s="40">
        <v>12</v>
      </c>
      <c r="R6" s="65">
        <v>12</v>
      </c>
      <c r="S6" s="64" t="s">
        <v>69</v>
      </c>
      <c r="T6" s="40" t="s">
        <v>69</v>
      </c>
      <c r="U6" s="65" t="s">
        <v>69</v>
      </c>
      <c r="V6" s="64"/>
      <c r="W6" s="40"/>
      <c r="X6" s="65"/>
      <c r="Y6" s="64">
        <v>11</v>
      </c>
      <c r="Z6" s="40">
        <v>11</v>
      </c>
      <c r="AA6" s="65">
        <v>11</v>
      </c>
      <c r="AB6" s="64" t="s">
        <v>70</v>
      </c>
      <c r="AC6" s="40" t="s">
        <v>70</v>
      </c>
      <c r="AD6" s="65" t="s">
        <v>70</v>
      </c>
      <c r="AE6" s="64">
        <v>11</v>
      </c>
      <c r="AF6" s="40">
        <v>11</v>
      </c>
      <c r="AG6" s="65">
        <v>11</v>
      </c>
      <c r="AH6" s="64"/>
      <c r="AI6" s="40"/>
      <c r="AJ6" s="65"/>
      <c r="AK6" s="64">
        <v>12</v>
      </c>
      <c r="AL6" s="40">
        <v>12</v>
      </c>
      <c r="AM6" s="65">
        <v>12</v>
      </c>
      <c r="AN6" s="64"/>
      <c r="AO6" s="40"/>
      <c r="AP6" s="65"/>
      <c r="AQ6" s="64">
        <v>12</v>
      </c>
      <c r="AR6" s="40">
        <v>12</v>
      </c>
      <c r="AS6" s="65">
        <v>12</v>
      </c>
      <c r="AT6" s="64" t="s">
        <v>71</v>
      </c>
      <c r="AU6" s="40" t="s">
        <v>71</v>
      </c>
      <c r="AV6" s="65" t="s">
        <v>71</v>
      </c>
      <c r="AW6" s="78">
        <v>12</v>
      </c>
      <c r="AX6" s="40">
        <v>12</v>
      </c>
      <c r="AY6" s="65">
        <v>12</v>
      </c>
      <c r="AZ6" s="64" t="s">
        <v>71</v>
      </c>
      <c r="BA6" s="65" t="s">
        <v>71</v>
      </c>
      <c r="BB6" s="55"/>
      <c r="BC6" s="55"/>
      <c r="BD6" s="55"/>
      <c r="BE6" s="55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</row>
    <row r="7" spans="1:152" s="6" customFormat="1" ht="12.6" customHeight="1">
      <c r="A7" s="107" t="s">
        <v>72</v>
      </c>
      <c r="B7" s="64"/>
      <c r="C7" s="40"/>
      <c r="D7" s="65"/>
      <c r="E7" s="64"/>
      <c r="F7" s="65"/>
      <c r="G7" s="64"/>
      <c r="H7" s="40">
        <v>12.25</v>
      </c>
      <c r="I7" s="65">
        <v>12.25</v>
      </c>
      <c r="J7" s="64">
        <v>12</v>
      </c>
      <c r="K7" s="40">
        <v>12</v>
      </c>
      <c r="L7" s="65">
        <v>12</v>
      </c>
      <c r="M7" s="64">
        <v>12.25</v>
      </c>
      <c r="N7" s="40">
        <v>12.25</v>
      </c>
      <c r="O7" s="65">
        <v>12.25</v>
      </c>
      <c r="P7" s="64"/>
      <c r="Q7" s="40"/>
      <c r="R7" s="65"/>
      <c r="S7" s="64">
        <v>12.25</v>
      </c>
      <c r="T7" s="40">
        <v>12.25</v>
      </c>
      <c r="U7" s="65">
        <v>12.25</v>
      </c>
      <c r="V7" s="64"/>
      <c r="W7" s="40"/>
      <c r="X7" s="65"/>
      <c r="Y7" s="64">
        <v>12.25</v>
      </c>
      <c r="Z7" s="40">
        <v>12.25</v>
      </c>
      <c r="AA7" s="65">
        <v>12.25</v>
      </c>
      <c r="AB7" s="64"/>
      <c r="AC7" s="40"/>
      <c r="AD7" s="65"/>
      <c r="AE7" s="64">
        <v>12.25</v>
      </c>
      <c r="AF7" s="40">
        <v>12.25</v>
      </c>
      <c r="AG7" s="65">
        <v>12.25</v>
      </c>
      <c r="AH7" s="64"/>
      <c r="AI7" s="40"/>
      <c r="AJ7" s="65"/>
      <c r="AK7" s="64">
        <v>12.25</v>
      </c>
      <c r="AL7" s="40">
        <v>12.25</v>
      </c>
      <c r="AM7" s="65">
        <v>12.25</v>
      </c>
      <c r="AN7" s="64"/>
      <c r="AO7" s="40"/>
      <c r="AP7" s="65"/>
      <c r="AQ7" s="64">
        <v>12.25</v>
      </c>
      <c r="AR7" s="40">
        <v>12.25</v>
      </c>
      <c r="AS7" s="65">
        <v>12.25</v>
      </c>
      <c r="AT7" s="64"/>
      <c r="AU7" s="40"/>
      <c r="AV7" s="65"/>
      <c r="AW7" s="78">
        <v>12.25</v>
      </c>
      <c r="AX7" s="40">
        <v>12.25</v>
      </c>
      <c r="AY7" s="65">
        <v>12.25</v>
      </c>
      <c r="AZ7" s="64"/>
      <c r="BA7" s="65"/>
      <c r="BB7" s="55"/>
      <c r="BC7" s="55"/>
      <c r="BD7" s="55"/>
      <c r="BE7" s="55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</row>
    <row r="8" spans="1:152" s="6" customFormat="1" ht="12.6" customHeight="1">
      <c r="A8" s="107" t="s">
        <v>73</v>
      </c>
      <c r="B8" s="64"/>
      <c r="C8" s="40"/>
      <c r="D8" s="65"/>
      <c r="E8" s="64"/>
      <c r="F8" s="65"/>
      <c r="G8" s="64"/>
      <c r="H8" s="40">
        <v>5.5</v>
      </c>
      <c r="I8" s="65">
        <v>5.5</v>
      </c>
      <c r="J8" s="64"/>
      <c r="K8" s="40"/>
      <c r="L8" s="65"/>
      <c r="M8" s="64">
        <v>5.5</v>
      </c>
      <c r="N8" s="40">
        <v>5.5</v>
      </c>
      <c r="O8" s="65">
        <v>5.5</v>
      </c>
      <c r="P8" s="64"/>
      <c r="Q8" s="40"/>
      <c r="R8" s="65">
        <v>5.25</v>
      </c>
      <c r="S8" s="64">
        <v>5.25</v>
      </c>
      <c r="T8" s="40">
        <v>5.25</v>
      </c>
      <c r="U8" s="65">
        <v>5.25</v>
      </c>
      <c r="V8" s="64"/>
      <c r="W8" s="40"/>
      <c r="X8" s="65"/>
      <c r="Y8" s="64">
        <v>5.5</v>
      </c>
      <c r="Z8" s="40">
        <v>5.5</v>
      </c>
      <c r="AA8" s="65">
        <v>5.5</v>
      </c>
      <c r="AB8" s="64"/>
      <c r="AC8" s="40"/>
      <c r="AD8" s="65"/>
      <c r="AE8" s="64">
        <v>5.5</v>
      </c>
      <c r="AF8" s="40">
        <v>5.5</v>
      </c>
      <c r="AG8" s="65">
        <v>5.5</v>
      </c>
      <c r="AH8" s="64"/>
      <c r="AI8" s="40"/>
      <c r="AJ8" s="65"/>
      <c r="AK8" s="64">
        <v>5.5</v>
      </c>
      <c r="AL8" s="40">
        <v>5.5</v>
      </c>
      <c r="AM8" s="65">
        <v>5.5</v>
      </c>
      <c r="AN8" s="64"/>
      <c r="AO8" s="40"/>
      <c r="AP8" s="65"/>
      <c r="AQ8" s="64">
        <v>5.5</v>
      </c>
      <c r="AR8" s="40">
        <v>5.5</v>
      </c>
      <c r="AS8" s="65">
        <v>5.5</v>
      </c>
      <c r="AT8" s="64"/>
      <c r="AU8" s="40"/>
      <c r="AV8" s="65"/>
      <c r="AW8" s="78"/>
      <c r="AX8" s="40"/>
      <c r="AY8" s="65"/>
      <c r="AZ8" s="64">
        <v>5.5</v>
      </c>
      <c r="BA8" s="65">
        <v>5.5</v>
      </c>
      <c r="BB8" s="55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</row>
    <row r="9" spans="1:152" s="6" customFormat="1" ht="12.6" customHeight="1">
      <c r="A9" s="107" t="s">
        <v>74</v>
      </c>
      <c r="B9" s="64"/>
      <c r="C9" s="40"/>
      <c r="D9" s="65"/>
      <c r="E9" s="64"/>
      <c r="F9" s="65"/>
      <c r="G9" s="64"/>
      <c r="H9" s="40">
        <v>5.5</v>
      </c>
      <c r="I9" s="65">
        <v>5.5</v>
      </c>
      <c r="J9" s="64"/>
      <c r="K9" s="40"/>
      <c r="L9" s="65"/>
      <c r="M9" s="64"/>
      <c r="N9" s="40"/>
      <c r="O9" s="65"/>
      <c r="P9" s="64">
        <v>6</v>
      </c>
      <c r="Q9" s="40">
        <v>6</v>
      </c>
      <c r="R9" s="65">
        <v>6</v>
      </c>
      <c r="S9" s="64"/>
      <c r="T9" s="40"/>
      <c r="U9" s="65"/>
      <c r="V9" s="64">
        <v>6</v>
      </c>
      <c r="W9" s="40">
        <v>6</v>
      </c>
      <c r="X9" s="65">
        <v>6</v>
      </c>
      <c r="Y9" s="64"/>
      <c r="Z9" s="40"/>
      <c r="AA9" s="65"/>
      <c r="AB9" s="64">
        <v>5.5</v>
      </c>
      <c r="AC9" s="40">
        <v>5.5</v>
      </c>
      <c r="AD9" s="65">
        <v>5.5</v>
      </c>
      <c r="AE9" s="64"/>
      <c r="AF9" s="40"/>
      <c r="AG9" s="65"/>
      <c r="AH9" s="64">
        <v>5.5</v>
      </c>
      <c r="AI9" s="40">
        <v>5.5</v>
      </c>
      <c r="AJ9" s="65">
        <v>5.5</v>
      </c>
      <c r="AK9" s="64"/>
      <c r="AL9" s="40"/>
      <c r="AM9" s="65"/>
      <c r="AN9" s="64">
        <v>6</v>
      </c>
      <c r="AO9" s="40">
        <v>6</v>
      </c>
      <c r="AP9" s="65">
        <v>6</v>
      </c>
      <c r="AQ9" s="64"/>
      <c r="AR9" s="40"/>
      <c r="AS9" s="65"/>
      <c r="AT9" s="64">
        <v>6</v>
      </c>
      <c r="AU9" s="40">
        <v>6</v>
      </c>
      <c r="AV9" s="65">
        <v>6</v>
      </c>
      <c r="AW9" s="78"/>
      <c r="AX9" s="40"/>
      <c r="AY9" s="65"/>
      <c r="AZ9" s="64">
        <v>6</v>
      </c>
      <c r="BA9" s="65">
        <v>6</v>
      </c>
      <c r="BB9" s="55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</row>
    <row r="10" spans="1:152" s="6" customFormat="1" ht="12.6" customHeight="1">
      <c r="A10" s="108" t="s">
        <v>75</v>
      </c>
      <c r="B10" s="64">
        <v>4</v>
      </c>
      <c r="C10" s="40">
        <v>4</v>
      </c>
      <c r="D10" s="65">
        <v>4</v>
      </c>
      <c r="E10" s="64"/>
      <c r="F10" s="65"/>
      <c r="G10" s="64"/>
      <c r="H10" s="40">
        <v>4</v>
      </c>
      <c r="I10" s="65">
        <v>4</v>
      </c>
      <c r="J10" s="64"/>
      <c r="K10" s="40"/>
      <c r="L10" s="65"/>
      <c r="M10" s="64">
        <v>4</v>
      </c>
      <c r="N10" s="40">
        <v>4</v>
      </c>
      <c r="O10" s="65">
        <v>4</v>
      </c>
      <c r="P10" s="64"/>
      <c r="Q10" s="40"/>
      <c r="R10" s="65"/>
      <c r="S10" s="64">
        <v>4</v>
      </c>
      <c r="T10" s="40">
        <v>4</v>
      </c>
      <c r="U10" s="65">
        <v>4</v>
      </c>
      <c r="V10" s="64"/>
      <c r="W10" s="40"/>
      <c r="X10" s="65"/>
      <c r="Y10" s="64">
        <v>4</v>
      </c>
      <c r="Z10" s="40">
        <v>4</v>
      </c>
      <c r="AA10" s="65">
        <v>4</v>
      </c>
      <c r="AB10" s="64"/>
      <c r="AC10" s="40"/>
      <c r="AD10" s="65"/>
      <c r="AE10" s="64">
        <v>4</v>
      </c>
      <c r="AF10" s="40">
        <v>4</v>
      </c>
      <c r="AG10" s="65">
        <v>4</v>
      </c>
      <c r="AH10" s="64"/>
      <c r="AI10" s="40"/>
      <c r="AJ10" s="65"/>
      <c r="AK10" s="64">
        <v>4</v>
      </c>
      <c r="AL10" s="40">
        <v>4</v>
      </c>
      <c r="AM10" s="65">
        <v>4</v>
      </c>
      <c r="AN10" s="64"/>
      <c r="AO10" s="40"/>
      <c r="AP10" s="65"/>
      <c r="AQ10" s="64">
        <v>4</v>
      </c>
      <c r="AR10" s="40">
        <v>4</v>
      </c>
      <c r="AS10" s="65">
        <v>4</v>
      </c>
      <c r="AT10" s="64"/>
      <c r="AU10" s="40"/>
      <c r="AV10" s="65"/>
      <c r="AW10" s="78">
        <v>4</v>
      </c>
      <c r="AX10" s="40">
        <v>4</v>
      </c>
      <c r="AY10" s="65">
        <v>4</v>
      </c>
      <c r="AZ10" s="64"/>
      <c r="BA10" s="65"/>
      <c r="BB10" s="55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</row>
    <row r="11" spans="1:152" s="6" customFormat="1" ht="12.6" customHeight="1">
      <c r="A11" s="108" t="s">
        <v>76</v>
      </c>
      <c r="B11" s="64">
        <v>4</v>
      </c>
      <c r="C11" s="40">
        <v>4</v>
      </c>
      <c r="D11" s="65">
        <v>4</v>
      </c>
      <c r="E11" s="64"/>
      <c r="F11" s="65"/>
      <c r="G11" s="64"/>
      <c r="H11" s="40">
        <v>4</v>
      </c>
      <c r="I11" s="65">
        <v>4</v>
      </c>
      <c r="J11" s="64"/>
      <c r="K11" s="40"/>
      <c r="L11" s="65"/>
      <c r="M11" s="64">
        <v>4</v>
      </c>
      <c r="N11" s="40">
        <v>4</v>
      </c>
      <c r="O11" s="65">
        <v>4</v>
      </c>
      <c r="P11" s="64"/>
      <c r="Q11" s="40"/>
      <c r="R11" s="65"/>
      <c r="S11" s="64">
        <v>4</v>
      </c>
      <c r="T11" s="40">
        <v>4</v>
      </c>
      <c r="U11" s="65">
        <v>4</v>
      </c>
      <c r="V11" s="64"/>
      <c r="W11" s="40"/>
      <c r="X11" s="65"/>
      <c r="Y11" s="64">
        <v>4</v>
      </c>
      <c r="Z11" s="40">
        <v>4</v>
      </c>
      <c r="AA11" s="65">
        <v>4</v>
      </c>
      <c r="AB11" s="64"/>
      <c r="AC11" s="40"/>
      <c r="AD11" s="65"/>
      <c r="AE11" s="64">
        <v>4</v>
      </c>
      <c r="AF11" s="40">
        <v>4</v>
      </c>
      <c r="AG11" s="65">
        <v>4</v>
      </c>
      <c r="AH11" s="64"/>
      <c r="AI11" s="40"/>
      <c r="AJ11" s="65"/>
      <c r="AK11" s="64">
        <v>4</v>
      </c>
      <c r="AL11" s="40">
        <v>4</v>
      </c>
      <c r="AM11" s="65">
        <v>4</v>
      </c>
      <c r="AN11" s="64"/>
      <c r="AO11" s="40"/>
      <c r="AP11" s="65"/>
      <c r="AQ11" s="64">
        <v>4</v>
      </c>
      <c r="AR11" s="40">
        <v>4</v>
      </c>
      <c r="AS11" s="65">
        <v>4</v>
      </c>
      <c r="AT11" s="64"/>
      <c r="AU11" s="40"/>
      <c r="AV11" s="65"/>
      <c r="AW11" s="78">
        <v>4</v>
      </c>
      <c r="AX11" s="40">
        <v>4</v>
      </c>
      <c r="AY11" s="65">
        <v>4</v>
      </c>
      <c r="AZ11" s="64"/>
      <c r="BA11" s="65"/>
      <c r="BB11" s="55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</row>
    <row r="12" spans="1:152" s="6" customFormat="1" ht="12.6" customHeight="1">
      <c r="A12" s="107" t="s">
        <v>77</v>
      </c>
      <c r="B12" s="87"/>
      <c r="C12" s="46"/>
      <c r="D12" s="110"/>
      <c r="E12" s="100"/>
      <c r="F12" s="101"/>
      <c r="G12" s="87"/>
      <c r="H12" s="47"/>
      <c r="I12" s="90"/>
      <c r="J12" s="87"/>
      <c r="K12" s="46"/>
      <c r="L12" s="88"/>
      <c r="M12" s="87"/>
      <c r="N12" s="46"/>
      <c r="O12" s="88"/>
      <c r="P12" s="87"/>
      <c r="Q12" s="46"/>
      <c r="R12" s="88"/>
      <c r="S12" s="87"/>
      <c r="T12" s="46"/>
      <c r="U12" s="88"/>
      <c r="V12" s="89"/>
      <c r="W12" s="47"/>
      <c r="X12" s="90"/>
      <c r="Y12" s="89"/>
      <c r="Z12" s="46"/>
      <c r="AA12" s="88"/>
      <c r="AB12" s="87"/>
      <c r="AC12" s="46"/>
      <c r="AD12" s="88"/>
      <c r="AE12" s="87"/>
      <c r="AF12" s="46"/>
      <c r="AG12" s="67"/>
      <c r="AH12" s="66">
        <v>9.5</v>
      </c>
      <c r="AI12" s="39">
        <v>9.5</v>
      </c>
      <c r="AJ12" s="67">
        <v>9.5</v>
      </c>
      <c r="AK12" s="64"/>
      <c r="AL12" s="40"/>
      <c r="AM12" s="65"/>
      <c r="AN12" s="66">
        <v>9.5</v>
      </c>
      <c r="AO12" s="39">
        <v>9.5</v>
      </c>
      <c r="AP12" s="67">
        <v>9.5</v>
      </c>
      <c r="AQ12" s="66"/>
      <c r="AR12" s="39"/>
      <c r="AS12" s="67"/>
      <c r="AT12" s="66">
        <v>9.5</v>
      </c>
      <c r="AU12" s="39">
        <v>9.5</v>
      </c>
      <c r="AV12" s="67">
        <v>9.5</v>
      </c>
      <c r="AW12" s="79"/>
      <c r="AX12" s="39"/>
      <c r="AY12" s="67"/>
      <c r="AZ12" s="66">
        <v>9.5</v>
      </c>
      <c r="BA12" s="67">
        <v>9.5</v>
      </c>
      <c r="BB12" s="55"/>
      <c r="BC12" s="55"/>
      <c r="BD12" s="55"/>
      <c r="BE12" s="55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</row>
    <row r="13" spans="1:152" s="6" customFormat="1" ht="12.6" customHeight="1">
      <c r="A13" s="107" t="s">
        <v>78</v>
      </c>
      <c r="B13" s="68">
        <v>3.5</v>
      </c>
      <c r="C13" s="41">
        <v>3.5</v>
      </c>
      <c r="D13" s="69">
        <v>3.5</v>
      </c>
      <c r="E13" s="68"/>
      <c r="F13" s="67"/>
      <c r="G13" s="66"/>
      <c r="H13" s="39">
        <v>3.5</v>
      </c>
      <c r="I13" s="67">
        <v>3.5</v>
      </c>
      <c r="J13" s="68"/>
      <c r="K13" s="41"/>
      <c r="L13" s="69"/>
      <c r="M13" s="68">
        <v>3.5</v>
      </c>
      <c r="N13" s="39">
        <v>3.5</v>
      </c>
      <c r="O13" s="67">
        <v>3.5</v>
      </c>
      <c r="P13" s="66"/>
      <c r="Q13" s="39"/>
      <c r="R13" s="69">
        <v>3.45</v>
      </c>
      <c r="S13" s="68">
        <v>3.45</v>
      </c>
      <c r="T13" s="41">
        <v>3.45</v>
      </c>
      <c r="U13" s="69">
        <v>3.45</v>
      </c>
      <c r="V13" s="66"/>
      <c r="W13" s="39"/>
      <c r="X13" s="67"/>
      <c r="Y13" s="66">
        <v>3.5</v>
      </c>
      <c r="Z13" s="41">
        <v>3.5</v>
      </c>
      <c r="AA13" s="69">
        <v>3.5</v>
      </c>
      <c r="AB13" s="68"/>
      <c r="AC13" s="41"/>
      <c r="AD13" s="67"/>
      <c r="AE13" s="66">
        <v>3.5</v>
      </c>
      <c r="AF13" s="41">
        <v>3.5</v>
      </c>
      <c r="AG13" s="69">
        <v>3.5</v>
      </c>
      <c r="AH13" s="66"/>
      <c r="AI13" s="39"/>
      <c r="AJ13" s="67"/>
      <c r="AK13" s="66">
        <v>3.75</v>
      </c>
      <c r="AL13" s="41">
        <v>3.75</v>
      </c>
      <c r="AM13" s="69">
        <v>3.75</v>
      </c>
      <c r="AN13" s="68"/>
      <c r="AO13" s="41"/>
      <c r="AP13" s="67"/>
      <c r="AQ13" s="66">
        <v>3.75</v>
      </c>
      <c r="AR13" s="39">
        <v>3.75</v>
      </c>
      <c r="AS13" s="67">
        <v>3.75</v>
      </c>
      <c r="AT13" s="66"/>
      <c r="AU13" s="39"/>
      <c r="AV13" s="67"/>
      <c r="AW13" s="79">
        <v>3.75</v>
      </c>
      <c r="AX13" s="41">
        <v>3.75</v>
      </c>
      <c r="AY13" s="69">
        <v>3.75</v>
      </c>
      <c r="AZ13" s="68"/>
      <c r="BA13" s="69"/>
      <c r="BB13" s="55"/>
      <c r="BC13" s="55"/>
      <c r="BD13" s="55"/>
      <c r="BE13" s="55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</row>
    <row r="14" spans="1:152" s="6" customFormat="1" ht="12.95">
      <c r="A14" s="109" t="s">
        <v>79</v>
      </c>
      <c r="B14" s="68">
        <v>3.5</v>
      </c>
      <c r="C14" s="41">
        <v>3.5</v>
      </c>
      <c r="D14" s="69">
        <v>3.5</v>
      </c>
      <c r="E14" s="68"/>
      <c r="F14" s="69"/>
      <c r="G14" s="66"/>
      <c r="H14" s="39">
        <v>3.5</v>
      </c>
      <c r="I14" s="67">
        <v>3.5</v>
      </c>
      <c r="J14" s="64"/>
      <c r="K14" s="40"/>
      <c r="L14" s="65"/>
      <c r="M14" s="64"/>
      <c r="N14" s="40"/>
      <c r="O14" s="65"/>
      <c r="P14" s="68">
        <v>3.75</v>
      </c>
      <c r="Q14" s="41">
        <v>3.75</v>
      </c>
      <c r="R14" s="69">
        <v>3.75</v>
      </c>
      <c r="S14" s="64"/>
      <c r="T14" s="40"/>
      <c r="U14" s="65"/>
      <c r="V14" s="64">
        <v>3.75</v>
      </c>
      <c r="W14" s="40">
        <v>3.75</v>
      </c>
      <c r="X14" s="65">
        <v>3.75</v>
      </c>
      <c r="Y14" s="64"/>
      <c r="Z14" s="40"/>
      <c r="AA14" s="65"/>
      <c r="AB14" s="66">
        <v>3.5</v>
      </c>
      <c r="AC14" s="41">
        <v>3.5</v>
      </c>
      <c r="AD14" s="69">
        <v>3.5</v>
      </c>
      <c r="AE14" s="64"/>
      <c r="AF14" s="40"/>
      <c r="AG14" s="65"/>
      <c r="AH14" s="64">
        <v>3.75</v>
      </c>
      <c r="AI14" s="40">
        <v>3.75</v>
      </c>
      <c r="AJ14" s="65">
        <v>3.75</v>
      </c>
      <c r="AK14" s="64"/>
      <c r="AL14" s="40"/>
      <c r="AM14" s="65"/>
      <c r="AN14" s="64">
        <v>3.75</v>
      </c>
      <c r="AO14" s="40">
        <v>3.75</v>
      </c>
      <c r="AP14" s="65">
        <v>3.75</v>
      </c>
      <c r="AQ14" s="64"/>
      <c r="AR14" s="40"/>
      <c r="AS14" s="65"/>
      <c r="AT14" s="64">
        <v>3.75</v>
      </c>
      <c r="AU14" s="40">
        <v>3.75</v>
      </c>
      <c r="AV14" s="65">
        <v>3.75</v>
      </c>
      <c r="AW14" s="78"/>
      <c r="AX14" s="40"/>
      <c r="AY14" s="65"/>
      <c r="AZ14" s="64">
        <v>3.75</v>
      </c>
      <c r="BA14" s="65">
        <v>3.75</v>
      </c>
      <c r="BB14" s="55"/>
      <c r="BC14" s="55"/>
      <c r="BD14" s="55"/>
      <c r="BE14" s="55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</row>
    <row r="15" spans="1:152" s="6" customFormat="1" ht="12.95">
      <c r="A15" s="109" t="s">
        <v>80</v>
      </c>
      <c r="B15" s="100"/>
      <c r="C15" s="45"/>
      <c r="D15" s="101"/>
      <c r="E15" s="100"/>
      <c r="F15" s="101"/>
      <c r="G15" s="87"/>
      <c r="H15" s="46"/>
      <c r="I15" s="88"/>
      <c r="J15" s="89"/>
      <c r="K15" s="47"/>
      <c r="L15" s="90"/>
      <c r="M15" s="89"/>
      <c r="N15" s="47"/>
      <c r="O15" s="90"/>
      <c r="P15" s="100"/>
      <c r="Q15" s="45"/>
      <c r="R15" s="101"/>
      <c r="S15" s="89"/>
      <c r="T15" s="47"/>
      <c r="U15" s="90"/>
      <c r="V15" s="89"/>
      <c r="W15" s="47"/>
      <c r="X15" s="90"/>
      <c r="Y15" s="64">
        <v>10.5</v>
      </c>
      <c r="Z15" s="40">
        <v>10.5</v>
      </c>
      <c r="AA15" s="65">
        <v>10.5</v>
      </c>
      <c r="AB15" s="64" t="s">
        <v>70</v>
      </c>
      <c r="AC15" s="40" t="s">
        <v>70</v>
      </c>
      <c r="AD15" s="65" t="s">
        <v>70</v>
      </c>
      <c r="AE15" s="64"/>
      <c r="AF15" s="40"/>
      <c r="AG15" s="65"/>
      <c r="AH15" s="64"/>
      <c r="AI15" s="40"/>
      <c r="AJ15" s="65"/>
      <c r="AK15" s="64"/>
      <c r="AL15" s="40"/>
      <c r="AM15" s="65"/>
      <c r="AN15" s="64">
        <v>10.5</v>
      </c>
      <c r="AO15" s="40">
        <v>10.5</v>
      </c>
      <c r="AP15" s="65">
        <v>10.5</v>
      </c>
      <c r="AQ15" s="64"/>
      <c r="AR15" s="40"/>
      <c r="AS15" s="65"/>
      <c r="AT15" s="64">
        <v>10.5</v>
      </c>
      <c r="AU15" s="40">
        <v>10.5</v>
      </c>
      <c r="AV15" s="65">
        <v>10.5</v>
      </c>
      <c r="AW15" s="78"/>
      <c r="AX15" s="40"/>
      <c r="AY15" s="65"/>
      <c r="AZ15" s="64">
        <v>10.5</v>
      </c>
      <c r="BA15" s="65">
        <v>10.5</v>
      </c>
      <c r="BB15" s="55"/>
      <c r="BC15" s="55"/>
      <c r="BD15" s="55"/>
      <c r="BE15" s="55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</row>
    <row r="16" spans="1:152">
      <c r="A16" s="109" t="s">
        <v>81</v>
      </c>
      <c r="B16" s="91"/>
      <c r="C16" s="48"/>
      <c r="D16" s="92"/>
      <c r="E16" s="91"/>
      <c r="F16" s="92"/>
      <c r="G16" s="91"/>
      <c r="H16" s="48"/>
      <c r="I16" s="92"/>
      <c r="J16" s="91"/>
      <c r="K16" s="48"/>
      <c r="L16" s="92"/>
      <c r="M16" s="91"/>
      <c r="N16" s="48"/>
      <c r="O16" s="92"/>
      <c r="P16" s="91"/>
      <c r="Q16" s="48"/>
      <c r="R16" s="92"/>
      <c r="S16" s="91"/>
      <c r="T16" s="48"/>
      <c r="U16" s="92"/>
      <c r="V16" s="91"/>
      <c r="W16" s="48"/>
      <c r="X16" s="92"/>
      <c r="Y16" s="72"/>
      <c r="Z16" s="42"/>
      <c r="AA16" s="73"/>
      <c r="AB16" s="70">
        <v>6.25</v>
      </c>
      <c r="AC16" s="43">
        <v>6.25</v>
      </c>
      <c r="AD16" s="71">
        <v>6.25</v>
      </c>
      <c r="AE16" s="72"/>
      <c r="AF16" s="42"/>
      <c r="AG16" s="73"/>
      <c r="AH16" s="70">
        <v>6.25</v>
      </c>
      <c r="AI16" s="43">
        <v>6.25</v>
      </c>
      <c r="AJ16" s="71">
        <v>6.25</v>
      </c>
      <c r="AK16" s="72"/>
      <c r="AL16" s="42"/>
      <c r="AM16" s="73"/>
      <c r="AN16" s="70">
        <v>6.25</v>
      </c>
      <c r="AO16" s="43">
        <v>6.25</v>
      </c>
      <c r="AP16" s="71">
        <v>6.25</v>
      </c>
      <c r="AQ16" s="72"/>
      <c r="AR16" s="42"/>
      <c r="AS16" s="73"/>
      <c r="AT16" s="86">
        <v>6.25</v>
      </c>
      <c r="AU16" s="49">
        <v>6.25</v>
      </c>
      <c r="AV16" s="82">
        <v>6.25</v>
      </c>
      <c r="AW16" s="80"/>
      <c r="AX16" s="42"/>
      <c r="AY16" s="73"/>
      <c r="AZ16" s="70">
        <v>6.25</v>
      </c>
      <c r="BA16" s="71">
        <v>6.25</v>
      </c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</row>
    <row r="17" spans="1:152">
      <c r="A17" s="109" t="s">
        <v>82</v>
      </c>
      <c r="B17" s="72"/>
      <c r="C17" s="42"/>
      <c r="D17" s="73"/>
      <c r="E17" s="72"/>
      <c r="F17" s="73"/>
      <c r="G17" s="72"/>
      <c r="H17" s="43">
        <v>6</v>
      </c>
      <c r="I17" s="71">
        <v>6</v>
      </c>
      <c r="J17" s="72"/>
      <c r="K17" s="42"/>
      <c r="L17" s="73"/>
      <c r="M17" s="70">
        <v>6</v>
      </c>
      <c r="N17" s="43">
        <v>6</v>
      </c>
      <c r="O17" s="71">
        <v>6</v>
      </c>
      <c r="P17" s="72"/>
      <c r="Q17" s="42"/>
      <c r="R17" s="73"/>
      <c r="S17" s="72"/>
      <c r="T17" s="42"/>
      <c r="U17" s="73"/>
      <c r="V17" s="72"/>
      <c r="W17" s="42"/>
      <c r="X17" s="73"/>
      <c r="Y17" s="72"/>
      <c r="Z17" s="42"/>
      <c r="AA17" s="73"/>
      <c r="AB17" s="72"/>
      <c r="AC17" s="42"/>
      <c r="AD17" s="73"/>
      <c r="AE17" s="70">
        <v>5.75</v>
      </c>
      <c r="AF17" s="43">
        <v>5.75</v>
      </c>
      <c r="AG17" s="71">
        <v>5.75</v>
      </c>
      <c r="AH17" s="70"/>
      <c r="AI17" s="43"/>
      <c r="AJ17" s="71"/>
      <c r="AK17" s="70">
        <v>5.75</v>
      </c>
      <c r="AL17" s="43">
        <v>5.75</v>
      </c>
      <c r="AM17" s="71">
        <v>5.75</v>
      </c>
      <c r="AN17" s="70"/>
      <c r="AO17" s="42"/>
      <c r="AP17" s="73"/>
      <c r="AQ17" s="86">
        <v>5.75</v>
      </c>
      <c r="AR17" s="49">
        <v>5.75</v>
      </c>
      <c r="AS17" s="82">
        <v>5.75</v>
      </c>
      <c r="AT17" s="72"/>
      <c r="AU17" s="42"/>
      <c r="AV17" s="73"/>
      <c r="AW17" s="81">
        <v>5.75</v>
      </c>
      <c r="AX17" s="49">
        <v>5.75</v>
      </c>
      <c r="AY17" s="82">
        <v>5.75</v>
      </c>
      <c r="AZ17" s="72"/>
      <c r="BA17" s="73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</row>
    <row r="18" spans="1:152">
      <c r="A18" s="109" t="s">
        <v>83</v>
      </c>
      <c r="B18" s="72" t="s">
        <v>84</v>
      </c>
      <c r="C18" s="42" t="s">
        <v>84</v>
      </c>
      <c r="D18" s="73" t="s">
        <v>84</v>
      </c>
      <c r="E18" s="72" t="s">
        <v>84</v>
      </c>
      <c r="F18" s="73" t="s">
        <v>84</v>
      </c>
      <c r="G18" s="72" t="s">
        <v>85</v>
      </c>
      <c r="H18" s="42" t="s">
        <v>85</v>
      </c>
      <c r="I18" s="73" t="s">
        <v>85</v>
      </c>
      <c r="J18" s="72" t="s">
        <v>85</v>
      </c>
      <c r="K18" s="42" t="s">
        <v>85</v>
      </c>
      <c r="L18" s="73" t="s">
        <v>85</v>
      </c>
      <c r="M18" s="72" t="s">
        <v>85</v>
      </c>
      <c r="N18" s="42" t="s">
        <v>85</v>
      </c>
      <c r="O18" s="73" t="s">
        <v>85</v>
      </c>
      <c r="P18" s="72" t="s">
        <v>85</v>
      </c>
      <c r="Q18" s="42" t="s">
        <v>85</v>
      </c>
      <c r="R18" s="73" t="s">
        <v>85</v>
      </c>
      <c r="S18" s="72" t="s">
        <v>85</v>
      </c>
      <c r="T18" s="42" t="s">
        <v>85</v>
      </c>
      <c r="U18" s="73" t="s">
        <v>85</v>
      </c>
      <c r="V18" s="72" t="s">
        <v>85</v>
      </c>
      <c r="W18" s="42" t="s">
        <v>85</v>
      </c>
      <c r="X18" s="73" t="s">
        <v>85</v>
      </c>
      <c r="Y18" s="72" t="s">
        <v>85</v>
      </c>
      <c r="Z18" s="42" t="s">
        <v>85</v>
      </c>
      <c r="AA18" s="73" t="s">
        <v>85</v>
      </c>
      <c r="AB18" s="72" t="s">
        <v>85</v>
      </c>
      <c r="AC18" s="42" t="s">
        <v>85</v>
      </c>
      <c r="AD18" s="73" t="s">
        <v>85</v>
      </c>
      <c r="AE18" s="72" t="s">
        <v>85</v>
      </c>
      <c r="AF18" s="42" t="s">
        <v>85</v>
      </c>
      <c r="AG18" s="73" t="s">
        <v>85</v>
      </c>
      <c r="AH18" s="72" t="s">
        <v>85</v>
      </c>
      <c r="AI18" s="42" t="s">
        <v>85</v>
      </c>
      <c r="AJ18" s="73" t="s">
        <v>85</v>
      </c>
      <c r="AK18" s="72" t="s">
        <v>85</v>
      </c>
      <c r="AL18" s="42" t="s">
        <v>85</v>
      </c>
      <c r="AM18" s="73" t="s">
        <v>85</v>
      </c>
      <c r="AN18" s="72" t="s">
        <v>85</v>
      </c>
      <c r="AO18" s="42" t="s">
        <v>85</v>
      </c>
      <c r="AP18" s="73" t="s">
        <v>85</v>
      </c>
      <c r="AQ18" s="72" t="s">
        <v>85</v>
      </c>
      <c r="AR18" s="42" t="s">
        <v>85</v>
      </c>
      <c r="AS18" s="73" t="s">
        <v>85</v>
      </c>
      <c r="AT18" s="72" t="s">
        <v>85</v>
      </c>
      <c r="AU18" s="42" t="s">
        <v>85</v>
      </c>
      <c r="AV18" s="73" t="s">
        <v>85</v>
      </c>
      <c r="AW18" s="80" t="s">
        <v>85</v>
      </c>
      <c r="AX18" s="42" t="s">
        <v>85</v>
      </c>
      <c r="AY18" s="73" t="s">
        <v>85</v>
      </c>
      <c r="AZ18" s="72" t="s">
        <v>85</v>
      </c>
      <c r="BA18" s="73" t="s">
        <v>85</v>
      </c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</row>
    <row r="19" spans="1:152">
      <c r="A19" s="109" t="s">
        <v>86</v>
      </c>
      <c r="B19" s="72" t="s">
        <v>84</v>
      </c>
      <c r="C19" s="42" t="s">
        <v>84</v>
      </c>
      <c r="D19" s="73" t="s">
        <v>84</v>
      </c>
      <c r="E19" s="72" t="s">
        <v>84</v>
      </c>
      <c r="F19" s="73" t="s">
        <v>84</v>
      </c>
      <c r="G19" s="72" t="s">
        <v>85</v>
      </c>
      <c r="H19" s="42" t="s">
        <v>85</v>
      </c>
      <c r="I19" s="73" t="s">
        <v>85</v>
      </c>
      <c r="J19" s="72" t="s">
        <v>85</v>
      </c>
      <c r="K19" s="42" t="s">
        <v>85</v>
      </c>
      <c r="L19" s="73" t="s">
        <v>85</v>
      </c>
      <c r="M19" s="72" t="s">
        <v>85</v>
      </c>
      <c r="N19" s="42" t="s">
        <v>85</v>
      </c>
      <c r="O19" s="73" t="s">
        <v>85</v>
      </c>
      <c r="P19" s="72" t="s">
        <v>85</v>
      </c>
      <c r="Q19" s="42" t="s">
        <v>85</v>
      </c>
      <c r="R19" s="73" t="s">
        <v>85</v>
      </c>
      <c r="S19" s="72" t="s">
        <v>85</v>
      </c>
      <c r="T19" s="42" t="s">
        <v>85</v>
      </c>
      <c r="U19" s="73" t="s">
        <v>85</v>
      </c>
      <c r="W19" s="42" t="s">
        <v>85</v>
      </c>
      <c r="X19" s="73" t="s">
        <v>85</v>
      </c>
      <c r="Y19" s="72" t="s">
        <v>85</v>
      </c>
      <c r="Z19" s="42" t="s">
        <v>85</v>
      </c>
      <c r="AA19" s="73" t="s">
        <v>85</v>
      </c>
      <c r="AB19" s="72" t="s">
        <v>85</v>
      </c>
      <c r="AC19" s="42" t="s">
        <v>85</v>
      </c>
      <c r="AD19" s="73" t="s">
        <v>85</v>
      </c>
      <c r="AE19" s="72" t="s">
        <v>85</v>
      </c>
      <c r="AF19" s="42" t="s">
        <v>85</v>
      </c>
      <c r="AG19" s="73" t="s">
        <v>85</v>
      </c>
      <c r="AH19" s="72" t="s">
        <v>85</v>
      </c>
      <c r="AI19" s="42" t="s">
        <v>85</v>
      </c>
      <c r="AJ19" s="73" t="s">
        <v>85</v>
      </c>
      <c r="AK19" s="72" t="s">
        <v>85</v>
      </c>
      <c r="AL19" s="42" t="s">
        <v>85</v>
      </c>
      <c r="AM19" s="73" t="s">
        <v>85</v>
      </c>
      <c r="AN19" s="72" t="s">
        <v>85</v>
      </c>
      <c r="AO19" s="42" t="s">
        <v>85</v>
      </c>
      <c r="AP19" s="73" t="s">
        <v>85</v>
      </c>
      <c r="AQ19" s="72" t="s">
        <v>85</v>
      </c>
      <c r="AR19" s="42" t="s">
        <v>85</v>
      </c>
      <c r="AS19" s="73" t="s">
        <v>85</v>
      </c>
      <c r="AT19" s="72" t="s">
        <v>85</v>
      </c>
      <c r="AU19" s="42" t="s">
        <v>85</v>
      </c>
      <c r="AV19" s="73" t="s">
        <v>85</v>
      </c>
      <c r="AW19" s="80" t="s">
        <v>85</v>
      </c>
      <c r="AX19" s="42" t="s">
        <v>85</v>
      </c>
      <c r="AY19" s="73" t="s">
        <v>85</v>
      </c>
      <c r="AZ19" s="72" t="s">
        <v>85</v>
      </c>
      <c r="BA19" s="73" t="s">
        <v>85</v>
      </c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</row>
    <row r="20" spans="1:152" ht="15" thickBot="1">
      <c r="A20" s="109" t="s">
        <v>87</v>
      </c>
      <c r="B20" s="96"/>
      <c r="C20" s="97"/>
      <c r="D20" s="98"/>
      <c r="E20" s="96"/>
      <c r="F20" s="98"/>
      <c r="G20" s="96"/>
      <c r="H20" s="105">
        <v>3.5</v>
      </c>
      <c r="I20" s="106">
        <v>3.5</v>
      </c>
      <c r="J20" s="102">
        <v>3.5</v>
      </c>
      <c r="K20" s="103">
        <v>3.5</v>
      </c>
      <c r="L20" s="104">
        <v>3.5</v>
      </c>
      <c r="M20" s="96"/>
      <c r="N20" s="97"/>
      <c r="O20" s="98"/>
      <c r="P20" s="93">
        <v>3.75</v>
      </c>
      <c r="Q20" s="94">
        <v>3.75</v>
      </c>
      <c r="R20" s="95">
        <v>3.75</v>
      </c>
      <c r="S20" s="96"/>
      <c r="T20" s="97"/>
      <c r="U20" s="98"/>
      <c r="V20" s="93">
        <v>3.75</v>
      </c>
      <c r="W20" s="94">
        <v>3.75</v>
      </c>
      <c r="X20" s="95">
        <v>3.75</v>
      </c>
      <c r="Y20" s="74"/>
      <c r="Z20" s="84"/>
      <c r="AA20" s="75"/>
      <c r="AB20" s="74"/>
      <c r="AC20" s="84"/>
      <c r="AD20" s="75"/>
      <c r="AE20" s="74"/>
      <c r="AF20" s="84"/>
      <c r="AG20" s="75"/>
      <c r="AH20" s="74"/>
      <c r="AI20" s="84"/>
      <c r="AJ20" s="75"/>
      <c r="AK20" s="74"/>
      <c r="AL20" s="84"/>
      <c r="AM20" s="75"/>
      <c r="AN20" s="74"/>
      <c r="AO20" s="84"/>
      <c r="AP20" s="75"/>
      <c r="AQ20" s="74"/>
      <c r="AR20" s="84"/>
      <c r="AS20" s="75"/>
      <c r="AT20" s="74"/>
      <c r="AU20" s="84"/>
      <c r="AV20" s="75"/>
      <c r="AW20" s="83"/>
      <c r="AX20" s="84"/>
      <c r="AY20" s="75"/>
      <c r="AZ20" s="74"/>
      <c r="BA20" s="75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</row>
    <row r="21" spans="1:152"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</row>
    <row r="22" spans="1:152"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</row>
    <row r="23" spans="1:152"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</row>
    <row r="24" spans="1:152"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</row>
    <row r="25" spans="1:152"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</row>
    <row r="26" spans="1:152"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</row>
    <row r="27" spans="1:152"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</row>
    <row r="28" spans="1:152"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</row>
    <row r="29" spans="1:152"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</row>
    <row r="30" spans="1:152"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</row>
    <row r="31" spans="1:152"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 s="57"/>
    </row>
    <row r="32" spans="1:152"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 s="57"/>
    </row>
    <row r="33" spans="54:128"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 s="57"/>
    </row>
    <row r="34" spans="54:128"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 s="57"/>
    </row>
    <row r="35" spans="54:128"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 s="57"/>
    </row>
    <row r="36" spans="54:128"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 s="57"/>
    </row>
    <row r="37" spans="54:128"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 s="57"/>
    </row>
    <row r="38" spans="54:128"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 s="57"/>
    </row>
    <row r="39" spans="54:128"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 s="57"/>
    </row>
    <row r="40" spans="54:128"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 s="57"/>
    </row>
    <row r="41" spans="54:128"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 s="57"/>
    </row>
    <row r="42" spans="54:128"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 s="57"/>
    </row>
    <row r="43" spans="54:128"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 s="57"/>
    </row>
    <row r="44" spans="54:128"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 s="57"/>
    </row>
    <row r="45" spans="54:128"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 s="57"/>
    </row>
    <row r="46" spans="54:128"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 s="57"/>
    </row>
    <row r="47" spans="54:128"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 s="57"/>
    </row>
    <row r="48" spans="54:128"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 s="57"/>
    </row>
    <row r="49" spans="54:128"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 s="57"/>
    </row>
    <row r="50" spans="54:128"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 s="57"/>
    </row>
    <row r="51" spans="54:128"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 s="57"/>
    </row>
    <row r="52" spans="54:128"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 s="57"/>
    </row>
    <row r="53" spans="54:128"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 s="57"/>
    </row>
    <row r="54" spans="54:128"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 s="57"/>
    </row>
    <row r="55" spans="54:128"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 s="57"/>
    </row>
    <row r="56" spans="54:128"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 s="57"/>
    </row>
    <row r="57" spans="54:128"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 s="57"/>
    </row>
    <row r="58" spans="54:128"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 s="57"/>
    </row>
    <row r="59" spans="54:128"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 s="57"/>
    </row>
    <row r="60" spans="54:128"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 s="57"/>
    </row>
    <row r="61" spans="54:128"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 s="57"/>
    </row>
    <row r="62" spans="54:128"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 s="57"/>
    </row>
    <row r="63" spans="54:128"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 s="57"/>
    </row>
    <row r="64" spans="54:128"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 s="57"/>
    </row>
    <row r="65" spans="54:128"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 s="57"/>
    </row>
    <row r="66" spans="54:128"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 s="57"/>
    </row>
    <row r="67" spans="54:128"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 s="57"/>
    </row>
    <row r="68" spans="54:128"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 s="57"/>
    </row>
    <row r="69" spans="54:128"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 s="57"/>
    </row>
    <row r="70" spans="54:128"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 s="57"/>
    </row>
    <row r="71" spans="54:128"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 s="57"/>
    </row>
    <row r="72" spans="54:128"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 s="57"/>
    </row>
    <row r="73" spans="54:128"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 s="57"/>
    </row>
    <row r="74" spans="54:128"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 s="57"/>
    </row>
    <row r="75" spans="54:128"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 s="57"/>
    </row>
    <row r="76" spans="54:128"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 s="57"/>
    </row>
    <row r="77" spans="54:128"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 s="57"/>
    </row>
    <row r="78" spans="54:128"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 s="57"/>
    </row>
    <row r="79" spans="54:128"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 s="57"/>
    </row>
    <row r="80" spans="54:128"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 s="57"/>
    </row>
    <row r="81" spans="54:128"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 s="57"/>
    </row>
    <row r="82" spans="54:128"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 s="57"/>
    </row>
    <row r="83" spans="54:128"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 s="57"/>
    </row>
    <row r="84" spans="54:128"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 s="57"/>
    </row>
    <row r="85" spans="54:128"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 s="57"/>
    </row>
    <row r="86" spans="54:128"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 s="57"/>
    </row>
    <row r="87" spans="54:128"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 s="57"/>
    </row>
    <row r="88" spans="54:128"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 s="57"/>
    </row>
    <row r="89" spans="54:128"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 s="57"/>
    </row>
    <row r="90" spans="54:128"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 s="57"/>
    </row>
    <row r="91" spans="54:128"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 s="57"/>
    </row>
    <row r="92" spans="54:128"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 s="57"/>
    </row>
    <row r="93" spans="54:128"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 s="57"/>
    </row>
    <row r="94" spans="54:128"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 s="57"/>
    </row>
    <row r="95" spans="54:128"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 s="57"/>
    </row>
    <row r="96" spans="54:128"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 s="57"/>
    </row>
    <row r="97" spans="54:128"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 s="57"/>
    </row>
    <row r="98" spans="54:128"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 s="57"/>
    </row>
    <row r="99" spans="54:128"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 s="57"/>
    </row>
    <row r="100" spans="54:128"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 s="57"/>
    </row>
    <row r="101" spans="54:128"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 s="57"/>
    </row>
    <row r="102" spans="54:128"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 s="57"/>
    </row>
    <row r="103" spans="54:128"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 s="57"/>
    </row>
    <row r="104" spans="54:128"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 s="57"/>
    </row>
    <row r="105" spans="54:128"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 s="57"/>
    </row>
    <row r="106" spans="54:128"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 s="57"/>
    </row>
    <row r="107" spans="54:128"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 s="57"/>
    </row>
    <row r="108" spans="54:128"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 s="57"/>
    </row>
    <row r="109" spans="54:128"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 s="57"/>
    </row>
    <row r="110" spans="54:128"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 s="57"/>
    </row>
    <row r="111" spans="54:128"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 s="57"/>
    </row>
    <row r="112" spans="54:128"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 s="57"/>
    </row>
    <row r="113" spans="54:128"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 s="57"/>
    </row>
    <row r="114" spans="54:128"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 s="57"/>
    </row>
    <row r="115" spans="54:128"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 s="57"/>
    </row>
    <row r="116" spans="54:128"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 s="57"/>
    </row>
    <row r="117" spans="54:128"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 s="57"/>
    </row>
    <row r="118" spans="54:128"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 s="57"/>
    </row>
    <row r="119" spans="54:128"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 s="57"/>
    </row>
    <row r="120" spans="54:128"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 s="57"/>
    </row>
    <row r="121" spans="54:128"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 s="57"/>
    </row>
    <row r="122" spans="54:128"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 s="57"/>
    </row>
    <row r="123" spans="54:128"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 s="57"/>
    </row>
    <row r="124" spans="54:128"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 s="57"/>
    </row>
    <row r="125" spans="54:128"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 s="57"/>
    </row>
    <row r="126" spans="54:128"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 s="57"/>
    </row>
    <row r="127" spans="54:128"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 s="57"/>
    </row>
    <row r="128" spans="54:128"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 s="57"/>
    </row>
    <row r="129" spans="54:128"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 s="57"/>
    </row>
    <row r="130" spans="54:128"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 s="57"/>
    </row>
    <row r="131" spans="54:128"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 s="57"/>
    </row>
    <row r="132" spans="54:128"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 s="57"/>
    </row>
    <row r="133" spans="54:128"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 s="57"/>
    </row>
    <row r="134" spans="54:128"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 s="57"/>
    </row>
    <row r="135" spans="54:128"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 s="57"/>
    </row>
    <row r="136" spans="54:128"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 s="57"/>
    </row>
    <row r="137" spans="54:128"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 s="57"/>
    </row>
    <row r="138" spans="54:128"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 s="57"/>
    </row>
    <row r="139" spans="54:128"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 s="57"/>
    </row>
    <row r="140" spans="54:128"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 s="57"/>
    </row>
    <row r="141" spans="54:128"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 s="57"/>
    </row>
    <row r="142" spans="54:128"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 s="57"/>
    </row>
    <row r="143" spans="54:128"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 s="57"/>
    </row>
    <row r="144" spans="54:128"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 s="57"/>
    </row>
    <row r="145" spans="54:128"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 s="57"/>
    </row>
    <row r="146" spans="54:128"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 s="57"/>
    </row>
    <row r="147" spans="54:128"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 s="57"/>
    </row>
    <row r="148" spans="54:128"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 s="57"/>
    </row>
    <row r="149" spans="54:128"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 s="57"/>
    </row>
    <row r="150" spans="54:128"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 s="57"/>
    </row>
    <row r="151" spans="54:128"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 s="57"/>
    </row>
    <row r="152" spans="54:128"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 s="57"/>
    </row>
    <row r="153" spans="54:128"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 s="57"/>
    </row>
    <row r="154" spans="54:128"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 s="57"/>
    </row>
    <row r="155" spans="54:128"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 s="57"/>
    </row>
    <row r="156" spans="54:128"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 s="57"/>
    </row>
    <row r="157" spans="54:128"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 s="57"/>
    </row>
    <row r="158" spans="54:128"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 s="57"/>
    </row>
    <row r="159" spans="54:128"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 s="57"/>
    </row>
    <row r="160" spans="54:128"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 s="57"/>
    </row>
    <row r="161" spans="54:128"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 s="57"/>
    </row>
    <row r="162" spans="54:128"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 s="57"/>
    </row>
    <row r="163" spans="54:128"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 s="57"/>
    </row>
    <row r="164" spans="54:128"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 s="57"/>
    </row>
    <row r="165" spans="54:128"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 s="57"/>
    </row>
    <row r="166" spans="54:128"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 s="57"/>
    </row>
    <row r="167" spans="54:128"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 s="57"/>
    </row>
    <row r="168" spans="54:128"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 s="57"/>
    </row>
    <row r="169" spans="54:128"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 s="57"/>
    </row>
    <row r="170" spans="54:128"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 s="57"/>
    </row>
    <row r="171" spans="54:128"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 s="57"/>
    </row>
    <row r="172" spans="54:128"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 s="57"/>
    </row>
    <row r="173" spans="54:128"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 s="57"/>
    </row>
    <row r="174" spans="54:128"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 s="57"/>
    </row>
    <row r="175" spans="54:128"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 s="57"/>
    </row>
    <row r="176" spans="54:128"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 s="57"/>
    </row>
    <row r="177" spans="54:128"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 s="57"/>
    </row>
    <row r="178" spans="54:128"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 s="57"/>
    </row>
    <row r="179" spans="54:128"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 s="57"/>
    </row>
    <row r="180" spans="54:128"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 s="57"/>
    </row>
    <row r="181" spans="54:128"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 s="57"/>
    </row>
    <row r="182" spans="54:128"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 s="57"/>
    </row>
    <row r="183" spans="54:128"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 s="57"/>
    </row>
    <row r="184" spans="54:128"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 s="57"/>
    </row>
    <row r="185" spans="54:128"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 s="57"/>
    </row>
    <row r="186" spans="54:128"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 s="57"/>
    </row>
    <row r="187" spans="54:128"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 s="57"/>
    </row>
    <row r="188" spans="54:128"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 s="57"/>
    </row>
    <row r="189" spans="54:128"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 s="57"/>
    </row>
    <row r="190" spans="54:128"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 s="57"/>
    </row>
    <row r="191" spans="54:128"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 s="57"/>
    </row>
    <row r="192" spans="54:128"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 s="57"/>
    </row>
    <row r="193" spans="54:128"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 s="57"/>
    </row>
    <row r="194" spans="54:128"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 s="57"/>
    </row>
    <row r="195" spans="54:128"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 s="57"/>
    </row>
    <row r="196" spans="54:128"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 s="57"/>
    </row>
    <row r="197" spans="54:128"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 s="57"/>
    </row>
    <row r="198" spans="54:128"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 s="57"/>
    </row>
    <row r="199" spans="54:128"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 s="57"/>
    </row>
    <row r="200" spans="54:128"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 s="57"/>
    </row>
    <row r="201" spans="54:128"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 s="57"/>
    </row>
    <row r="202" spans="54:128"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 s="57"/>
    </row>
    <row r="203" spans="54:128"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 s="57"/>
    </row>
    <row r="204" spans="54:128"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 s="57"/>
    </row>
    <row r="205" spans="54:128"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 s="57"/>
    </row>
    <row r="206" spans="54:128"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 s="57"/>
    </row>
    <row r="207" spans="54:128"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 s="57"/>
    </row>
    <row r="208" spans="54:128"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 s="57"/>
    </row>
    <row r="209" spans="54:128"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 s="57"/>
    </row>
    <row r="210" spans="54:128"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 s="57"/>
    </row>
    <row r="211" spans="54:128"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 s="57"/>
    </row>
    <row r="212" spans="54:128"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 s="57"/>
    </row>
    <row r="213" spans="54:128"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 s="57"/>
    </row>
    <row r="214" spans="54:128"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 s="57"/>
    </row>
    <row r="215" spans="54:128"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 s="57"/>
    </row>
    <row r="216" spans="54:128"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 s="57"/>
    </row>
    <row r="217" spans="54:128"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 s="57"/>
    </row>
    <row r="218" spans="54:128"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 s="57"/>
    </row>
    <row r="219" spans="54:128"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 s="57"/>
    </row>
    <row r="220" spans="54:128"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 s="57"/>
    </row>
    <row r="221" spans="54:128"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 s="57"/>
    </row>
    <row r="222" spans="54:128"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 s="57"/>
    </row>
    <row r="223" spans="54:128"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 s="57"/>
    </row>
    <row r="224" spans="54:128"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 s="57"/>
    </row>
    <row r="225" spans="54:128"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 s="57"/>
    </row>
    <row r="226" spans="54:128"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 s="57"/>
    </row>
    <row r="227" spans="54:128"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 s="57"/>
    </row>
    <row r="228" spans="54:128"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 s="57"/>
    </row>
    <row r="229" spans="54:128"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 s="57"/>
    </row>
    <row r="230" spans="54:128"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 s="57"/>
    </row>
    <row r="231" spans="54:128"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 s="57"/>
    </row>
    <row r="232" spans="54:128"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 s="57"/>
    </row>
    <row r="233" spans="54:128"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 s="57"/>
    </row>
    <row r="234" spans="54:128"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 s="57"/>
    </row>
    <row r="235" spans="54:128"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 s="57"/>
    </row>
    <row r="236" spans="54:128"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 s="57"/>
    </row>
    <row r="237" spans="54:128"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 s="57"/>
    </row>
    <row r="238" spans="54:128"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 s="57"/>
    </row>
    <row r="239" spans="54:128"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 s="57"/>
    </row>
    <row r="240" spans="54:128"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 s="57"/>
    </row>
    <row r="241" spans="54:128"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 s="57"/>
    </row>
    <row r="242" spans="54:128"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 s="57"/>
    </row>
    <row r="243" spans="54:128"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 s="57"/>
    </row>
    <row r="244" spans="54:128"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 s="57"/>
    </row>
    <row r="245" spans="54:128"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 s="57"/>
    </row>
    <row r="246" spans="54:128"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 s="57"/>
    </row>
    <row r="247" spans="54:128"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 s="57"/>
    </row>
    <row r="248" spans="54:128"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 s="57"/>
    </row>
    <row r="249" spans="54:128"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 s="57"/>
    </row>
    <row r="250" spans="54:128"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 s="57"/>
    </row>
    <row r="251" spans="54:128"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 s="57"/>
    </row>
    <row r="252" spans="54:128"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 s="57"/>
    </row>
    <row r="253" spans="54:128"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 s="57"/>
    </row>
    <row r="254" spans="54:128"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 s="57"/>
    </row>
    <row r="255" spans="54:128"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 s="57"/>
    </row>
    <row r="256" spans="54:128"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 s="57"/>
    </row>
    <row r="257" spans="54:128"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 s="57"/>
    </row>
    <row r="258" spans="54:128"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 s="57"/>
    </row>
    <row r="259" spans="54:128"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 s="57"/>
    </row>
    <row r="260" spans="54:128"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 s="57"/>
    </row>
    <row r="261" spans="54:128"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 s="57"/>
    </row>
    <row r="262" spans="54:128"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 s="57"/>
    </row>
    <row r="263" spans="54:128"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 s="57"/>
    </row>
    <row r="264" spans="54:128"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 s="57"/>
    </row>
    <row r="265" spans="54:128"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 s="57"/>
    </row>
    <row r="266" spans="54:128"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 s="57"/>
    </row>
    <row r="267" spans="54:128"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 s="57"/>
    </row>
    <row r="268" spans="54:128"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 s="57"/>
    </row>
    <row r="269" spans="54:128"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 s="57"/>
    </row>
    <row r="270" spans="54:128"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 s="57"/>
    </row>
    <row r="271" spans="54:128"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 s="57"/>
    </row>
    <row r="272" spans="54:128"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 s="57"/>
    </row>
    <row r="273" spans="54:128"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 s="57"/>
    </row>
    <row r="274" spans="54:128"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 s="57"/>
    </row>
    <row r="275" spans="54:128"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 s="57"/>
    </row>
    <row r="276" spans="54:128"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 s="57"/>
    </row>
    <row r="277" spans="54:128"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 s="57"/>
    </row>
    <row r="278" spans="54:128"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 s="57"/>
    </row>
    <row r="279" spans="54:128"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 s="57"/>
    </row>
    <row r="280" spans="54:128"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 s="57"/>
    </row>
    <row r="281" spans="54:128"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 s="57"/>
    </row>
    <row r="282" spans="54:128"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 s="57"/>
    </row>
    <row r="283" spans="54:128"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 s="57"/>
    </row>
    <row r="284" spans="54:128"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 s="57"/>
    </row>
    <row r="285" spans="54:128"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 s="57"/>
    </row>
    <row r="286" spans="54:128"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 s="57"/>
    </row>
    <row r="287" spans="54:128"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 s="57"/>
    </row>
    <row r="288" spans="54:128"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 s="57"/>
    </row>
    <row r="289" spans="54:128"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 s="57"/>
    </row>
    <row r="290" spans="54:128"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 s="57"/>
    </row>
    <row r="291" spans="54:128"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 s="57"/>
    </row>
    <row r="292" spans="54:128"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 s="57"/>
    </row>
    <row r="293" spans="54:128"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 s="57"/>
    </row>
    <row r="294" spans="54:128"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 s="57"/>
    </row>
    <row r="295" spans="54:128"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 s="57"/>
    </row>
    <row r="296" spans="54:128"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 s="57"/>
    </row>
    <row r="297" spans="54:128"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 s="57"/>
    </row>
    <row r="298" spans="54:128"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 s="57"/>
    </row>
    <row r="299" spans="54:128"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 s="57"/>
    </row>
    <row r="300" spans="54:128"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 s="57"/>
    </row>
    <row r="301" spans="54:128"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 s="57"/>
    </row>
    <row r="302" spans="54:128"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 s="57"/>
    </row>
    <row r="303" spans="54:128"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 s="57"/>
    </row>
    <row r="304" spans="54:128"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 s="57"/>
    </row>
    <row r="305" spans="54:128"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 s="57"/>
    </row>
    <row r="306" spans="54:128"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 s="57"/>
    </row>
    <row r="307" spans="54:128"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 s="57"/>
    </row>
    <row r="308" spans="54:128"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 s="57"/>
    </row>
    <row r="309" spans="54:128"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 s="57"/>
    </row>
    <row r="310" spans="54:128"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 s="57"/>
    </row>
    <row r="311" spans="54:128"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 s="57"/>
    </row>
    <row r="312" spans="54:128"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 s="57"/>
    </row>
    <row r="313" spans="54:128"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 s="57"/>
    </row>
    <row r="314" spans="54:128"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 s="57"/>
    </row>
    <row r="315" spans="54:128"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 s="57"/>
    </row>
    <row r="316" spans="54:128"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 s="57"/>
    </row>
    <row r="317" spans="54:128"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 s="57"/>
    </row>
    <row r="318" spans="54:128"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 s="57"/>
    </row>
    <row r="319" spans="54:128"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 s="57"/>
    </row>
    <row r="320" spans="54:128"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 s="57"/>
    </row>
    <row r="321" spans="54:128"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 s="57"/>
    </row>
    <row r="322" spans="54:128"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 s="57"/>
    </row>
    <row r="323" spans="54:128"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 s="57"/>
    </row>
    <row r="324" spans="54:128"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 s="57"/>
    </row>
    <row r="325" spans="54:128"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 s="57"/>
    </row>
    <row r="326" spans="54:128"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 s="57"/>
    </row>
    <row r="327" spans="54:128"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 s="57"/>
    </row>
    <row r="328" spans="54:128"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 s="57"/>
    </row>
    <row r="329" spans="54:128"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 s="57"/>
    </row>
    <row r="330" spans="54:128"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 s="57"/>
    </row>
    <row r="331" spans="54:128"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 s="57"/>
    </row>
    <row r="332" spans="54:128"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 s="57"/>
    </row>
    <row r="333" spans="54:128"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 s="57"/>
    </row>
    <row r="334" spans="54:128"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 s="57"/>
    </row>
    <row r="335" spans="54:128"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 s="57"/>
    </row>
    <row r="336" spans="54:128"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 s="57"/>
    </row>
    <row r="337" spans="54:128"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 s="57"/>
    </row>
    <row r="338" spans="54:128"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 s="57"/>
    </row>
    <row r="339" spans="54:128"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 s="57"/>
    </row>
    <row r="340" spans="54:128"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 s="57"/>
    </row>
    <row r="341" spans="54:128"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 s="57"/>
    </row>
    <row r="342" spans="54:128"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 s="57"/>
    </row>
    <row r="343" spans="54:128"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 s="57"/>
    </row>
    <row r="344" spans="54:128"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 s="57"/>
    </row>
    <row r="345" spans="54:128"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 s="57"/>
    </row>
    <row r="346" spans="54:128"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 s="57"/>
    </row>
    <row r="347" spans="54:128"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 s="57"/>
    </row>
    <row r="348" spans="54:128"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 s="57"/>
    </row>
    <row r="349" spans="54:128"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 s="57"/>
    </row>
    <row r="350" spans="54:128"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 s="57"/>
    </row>
    <row r="351" spans="54:128"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 s="57"/>
    </row>
    <row r="352" spans="54:128"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 s="57"/>
    </row>
    <row r="353" spans="54:128"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 s="57"/>
    </row>
    <row r="354" spans="54:128"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 s="57"/>
    </row>
    <row r="355" spans="54:128"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 s="57"/>
    </row>
    <row r="356" spans="54:128"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 s="57"/>
    </row>
    <row r="357" spans="54:128"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 s="57"/>
    </row>
    <row r="358" spans="54:128"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 s="57"/>
    </row>
    <row r="359" spans="54:128"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 s="57"/>
    </row>
    <row r="360" spans="54:128"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 s="57"/>
    </row>
    <row r="361" spans="54:128"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 s="57"/>
    </row>
    <row r="362" spans="54:128"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 s="57"/>
    </row>
    <row r="363" spans="54:128"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 s="57"/>
    </row>
    <row r="364" spans="54:128"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 s="57"/>
    </row>
    <row r="365" spans="54:128"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 s="57"/>
    </row>
    <row r="366" spans="54:128"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 s="57"/>
    </row>
    <row r="367" spans="54:128"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 s="57"/>
    </row>
    <row r="368" spans="54:128"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 s="57"/>
    </row>
    <row r="369" spans="54:128"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 s="57"/>
    </row>
    <row r="370" spans="54:128"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 s="57"/>
    </row>
    <row r="371" spans="54:128"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 s="57"/>
    </row>
    <row r="372" spans="54:128"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 s="57"/>
    </row>
    <row r="373" spans="54:128"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 s="57"/>
    </row>
    <row r="374" spans="54:128"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 s="57"/>
    </row>
    <row r="375" spans="54:128"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 s="57"/>
    </row>
    <row r="376" spans="54:128"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 s="57"/>
    </row>
    <row r="377" spans="54:128"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 s="57"/>
    </row>
    <row r="378" spans="54:128"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 s="57"/>
    </row>
    <row r="379" spans="54:128"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 s="57"/>
    </row>
    <row r="380" spans="54:128"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 s="57"/>
    </row>
    <row r="381" spans="54:128"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 s="57"/>
    </row>
    <row r="382" spans="54:128"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 s="57"/>
    </row>
    <row r="383" spans="54:128"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 s="57"/>
    </row>
    <row r="384" spans="54:128"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 s="57"/>
    </row>
    <row r="385" spans="54:128"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 s="57"/>
    </row>
    <row r="386" spans="54:128"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 s="57"/>
    </row>
    <row r="387" spans="54:128"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 s="57"/>
    </row>
    <row r="388" spans="54:128"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 s="57"/>
    </row>
    <row r="389" spans="54:128"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 s="57"/>
    </row>
    <row r="390" spans="54:128"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 s="57"/>
    </row>
    <row r="391" spans="54:128"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 s="57"/>
    </row>
    <row r="392" spans="54:128"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 s="57"/>
    </row>
    <row r="393" spans="54:128"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 s="57"/>
    </row>
    <row r="394" spans="54:128"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 s="57"/>
    </row>
    <row r="395" spans="54:128"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 s="57"/>
    </row>
    <row r="396" spans="54:128"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 s="57"/>
    </row>
    <row r="397" spans="54:128"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 s="57"/>
    </row>
    <row r="398" spans="54:128"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 s="57"/>
    </row>
    <row r="399" spans="54:128"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 s="57"/>
    </row>
    <row r="400" spans="54:128"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 s="57"/>
    </row>
    <row r="401" spans="54:128"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 s="57"/>
    </row>
    <row r="402" spans="54:128"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 s="57"/>
    </row>
    <row r="403" spans="54:128"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 s="57"/>
    </row>
    <row r="404" spans="54:128"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 s="57"/>
    </row>
    <row r="405" spans="54:128"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 s="57"/>
    </row>
    <row r="406" spans="54:128"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 s="57"/>
    </row>
    <row r="407" spans="54:128"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 s="57"/>
    </row>
    <row r="408" spans="54:128"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 s="57"/>
    </row>
    <row r="409" spans="54:128"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 s="57"/>
    </row>
    <row r="410" spans="54:128"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 s="57"/>
    </row>
    <row r="411" spans="54:128"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 s="57"/>
    </row>
    <row r="412" spans="54:128"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 s="57"/>
    </row>
    <row r="413" spans="54:128"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 s="57"/>
    </row>
    <row r="414" spans="54:128"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 s="57"/>
    </row>
    <row r="415" spans="54:128"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 s="57"/>
    </row>
    <row r="416" spans="54:128"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 s="57"/>
    </row>
    <row r="417" spans="54:128"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 s="57"/>
    </row>
    <row r="418" spans="54:128"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 s="57"/>
    </row>
    <row r="419" spans="54:128"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 s="57"/>
    </row>
    <row r="420" spans="54:128"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 s="57"/>
    </row>
    <row r="421" spans="54:128"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 s="57"/>
    </row>
    <row r="422" spans="54:128"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 s="57"/>
    </row>
    <row r="423" spans="54:128"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 s="57"/>
    </row>
    <row r="424" spans="54:128"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 s="57"/>
    </row>
    <row r="425" spans="54:128"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 s="57"/>
    </row>
    <row r="426" spans="54:128"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 s="57"/>
    </row>
    <row r="427" spans="54:128"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 s="57"/>
    </row>
    <row r="428" spans="54:128"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 s="57"/>
    </row>
    <row r="429" spans="54:128"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 s="57"/>
    </row>
    <row r="430" spans="54:128"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 s="57"/>
    </row>
    <row r="431" spans="54:128"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 s="57"/>
    </row>
    <row r="432" spans="54:128"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 s="57"/>
    </row>
    <row r="433" spans="54:128"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 s="57"/>
    </row>
    <row r="434" spans="54:128"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 s="57"/>
    </row>
    <row r="435" spans="54:128"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 s="57"/>
    </row>
    <row r="436" spans="54:128"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 s="57"/>
    </row>
    <row r="437" spans="54:128"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 s="57"/>
    </row>
    <row r="438" spans="54:128"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 s="57"/>
    </row>
    <row r="439" spans="54:128"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 s="57"/>
    </row>
    <row r="440" spans="54:128"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 s="57"/>
    </row>
    <row r="441" spans="54:128"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 s="57"/>
    </row>
    <row r="442" spans="54:128"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 s="57"/>
    </row>
    <row r="443" spans="54:128"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 s="57"/>
    </row>
    <row r="444" spans="54:128"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 s="57"/>
    </row>
    <row r="445" spans="54:128"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 s="57"/>
    </row>
    <row r="446" spans="54:128"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 s="57"/>
    </row>
    <row r="447" spans="54:128"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 s="57"/>
    </row>
    <row r="448" spans="54:128"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 s="57"/>
    </row>
    <row r="449" spans="54:128"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 s="57"/>
    </row>
    <row r="450" spans="54:128"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 s="57"/>
    </row>
    <row r="451" spans="54:128"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 s="57"/>
    </row>
    <row r="452" spans="54:128"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 s="57"/>
    </row>
    <row r="453" spans="54:128"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 s="57"/>
    </row>
    <row r="454" spans="54:128"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 s="57"/>
    </row>
    <row r="455" spans="54:128"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 s="57"/>
    </row>
    <row r="456" spans="54:128"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 s="57"/>
    </row>
    <row r="457" spans="54:128"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 s="57"/>
    </row>
    <row r="458" spans="54:128"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 s="57"/>
    </row>
    <row r="459" spans="54:128"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 s="57"/>
    </row>
    <row r="460" spans="54:128"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 s="57"/>
    </row>
    <row r="461" spans="54:128"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 s="57"/>
    </row>
    <row r="462" spans="54:128"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 s="57"/>
    </row>
    <row r="463" spans="54:128"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 s="57"/>
    </row>
    <row r="464" spans="54:128"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 s="57"/>
    </row>
    <row r="465" spans="54:128"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 s="57"/>
    </row>
    <row r="466" spans="54:128"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 s="57"/>
    </row>
    <row r="467" spans="54:128"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 s="57"/>
    </row>
    <row r="468" spans="54:128"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 s="57"/>
    </row>
    <row r="469" spans="54:128"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 s="57"/>
    </row>
    <row r="470" spans="54:128"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 s="57"/>
    </row>
    <row r="471" spans="54:128"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 s="57"/>
    </row>
    <row r="472" spans="54:128"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 s="57"/>
    </row>
    <row r="473" spans="54:128"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 s="57"/>
    </row>
    <row r="474" spans="54:128"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 s="57"/>
    </row>
    <row r="475" spans="54:128"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 s="57"/>
    </row>
    <row r="476" spans="54:128"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 s="57"/>
    </row>
    <row r="477" spans="54:128"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 s="57"/>
    </row>
    <row r="478" spans="54:128"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 s="57"/>
    </row>
    <row r="479" spans="54:128"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 s="57"/>
    </row>
    <row r="480" spans="54:128"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 s="57"/>
    </row>
    <row r="481" spans="54:128"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 s="57"/>
    </row>
    <row r="482" spans="54:128"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 s="57"/>
    </row>
    <row r="483" spans="54:128"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 s="57"/>
    </row>
    <row r="484" spans="54:128"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 s="57"/>
    </row>
    <row r="485" spans="54:128"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 s="57"/>
    </row>
    <row r="486" spans="54:128"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 s="57"/>
    </row>
    <row r="487" spans="54:128"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 s="57"/>
    </row>
    <row r="488" spans="54:128"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 s="57"/>
    </row>
    <row r="489" spans="54:128"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 s="57"/>
    </row>
    <row r="490" spans="54:128"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 s="57"/>
    </row>
    <row r="491" spans="54:128"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 s="57"/>
    </row>
    <row r="492" spans="54:128"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 s="57"/>
    </row>
    <row r="493" spans="54:128"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 s="57"/>
    </row>
    <row r="494" spans="54:128"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 s="57"/>
    </row>
    <row r="495" spans="54:128"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 s="57"/>
    </row>
    <row r="496" spans="54:128"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 s="57"/>
    </row>
    <row r="497" spans="54:128"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 s="57"/>
    </row>
    <row r="498" spans="54:128"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 s="57"/>
    </row>
    <row r="499" spans="54:128"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 s="57"/>
    </row>
    <row r="500" spans="54:128"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 s="57"/>
    </row>
    <row r="501" spans="54:128"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 s="57"/>
    </row>
    <row r="502" spans="54:128"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 s="57"/>
    </row>
    <row r="503" spans="54:128"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 s="57"/>
    </row>
    <row r="504" spans="54:128"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 s="57"/>
    </row>
    <row r="505" spans="54:128"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 s="57"/>
    </row>
  </sheetData>
  <mergeCells count="19">
    <mergeCell ref="J2:L2"/>
    <mergeCell ref="G2:I2"/>
    <mergeCell ref="E2:F2"/>
    <mergeCell ref="B2:D2"/>
    <mergeCell ref="A1:A4"/>
    <mergeCell ref="AZ2:BA2"/>
    <mergeCell ref="AW2:AY2"/>
    <mergeCell ref="AT2:AV2"/>
    <mergeCell ref="AQ2:AS2"/>
    <mergeCell ref="AN2:AP2"/>
    <mergeCell ref="V2:X2"/>
    <mergeCell ref="S2:U2"/>
    <mergeCell ref="P2:R2"/>
    <mergeCell ref="M2:O2"/>
    <mergeCell ref="AK2:AM2"/>
    <mergeCell ref="AH2:AJ2"/>
    <mergeCell ref="AE2:AG2"/>
    <mergeCell ref="AB2:AD2"/>
    <mergeCell ref="Y2:AA2"/>
  </mergeCells>
  <phoneticPr fontId="17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409F-18B2-48D3-A92B-199EC8364547}">
  <dimension ref="A1:EV727"/>
  <sheetViews>
    <sheetView zoomScaleNormal="100" workbookViewId="0">
      <pane xSplit="1" ySplit="4" topLeftCell="B5" activePane="bottomRight" state="frozen"/>
      <selection pane="bottomRight" activeCell="D28" sqref="D28"/>
      <selection pane="bottomLeft" activeCell="A6" sqref="A6"/>
      <selection pane="topRight" activeCell="D1" sqref="D1"/>
    </sheetView>
  </sheetViews>
  <sheetFormatPr defaultRowHeight="14.45"/>
  <cols>
    <col min="1" max="1" width="29.5703125" bestFit="1" customWidth="1"/>
    <col min="2" max="2" width="10" bestFit="1" customWidth="1"/>
    <col min="54" max="152" width="8.85546875" style="53"/>
  </cols>
  <sheetData>
    <row r="1" spans="1:152" ht="11.45" customHeight="1" thickBot="1">
      <c r="A1" s="214"/>
      <c r="U1" s="156" t="s">
        <v>50</v>
      </c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 s="57"/>
    </row>
    <row r="2" spans="1:152">
      <c r="A2" s="220"/>
      <c r="B2" s="217" t="s">
        <v>41</v>
      </c>
      <c r="C2" s="218"/>
      <c r="D2" s="218"/>
      <c r="E2" s="219"/>
      <c r="F2" s="218" t="s">
        <v>29</v>
      </c>
      <c r="G2" s="218"/>
      <c r="H2" s="218"/>
      <c r="I2" s="218"/>
      <c r="J2" s="218"/>
      <c r="K2" s="217" t="s">
        <v>30</v>
      </c>
      <c r="L2" s="218"/>
      <c r="M2" s="218"/>
      <c r="N2" s="219"/>
      <c r="O2" s="218" t="s">
        <v>31</v>
      </c>
      <c r="P2" s="218"/>
      <c r="Q2" s="218"/>
      <c r="R2" s="218"/>
      <c r="S2" s="217" t="s">
        <v>32</v>
      </c>
      <c r="T2" s="218"/>
      <c r="U2" s="218"/>
      <c r="V2" s="219"/>
      <c r="W2" s="217" t="s">
        <v>33</v>
      </c>
      <c r="X2" s="218"/>
      <c r="Y2" s="218"/>
      <c r="Z2" s="219"/>
      <c r="AA2" s="217" t="s">
        <v>34</v>
      </c>
      <c r="AB2" s="218"/>
      <c r="AC2" s="218"/>
      <c r="AD2" s="219"/>
      <c r="AE2" s="217" t="s">
        <v>35</v>
      </c>
      <c r="AF2" s="218"/>
      <c r="AG2" s="218"/>
      <c r="AH2" s="219"/>
      <c r="AI2" s="217" t="s">
        <v>36</v>
      </c>
      <c r="AJ2" s="218"/>
      <c r="AK2" s="218"/>
      <c r="AL2" s="219"/>
      <c r="AM2" s="217" t="s">
        <v>37</v>
      </c>
      <c r="AN2" s="218"/>
      <c r="AO2" s="218"/>
      <c r="AP2" s="219"/>
      <c r="AQ2" s="217" t="s">
        <v>38</v>
      </c>
      <c r="AR2" s="218"/>
      <c r="AS2" s="219"/>
      <c r="AT2" s="217" t="s">
        <v>39</v>
      </c>
      <c r="AU2" s="218"/>
      <c r="AV2" s="218"/>
      <c r="AW2" s="219"/>
      <c r="AX2" s="217" t="s">
        <v>40</v>
      </c>
      <c r="AY2" s="218"/>
      <c r="AZ2" s="218"/>
      <c r="BA2" s="219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 s="58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</row>
    <row r="3" spans="1:152">
      <c r="A3" s="220"/>
      <c r="B3" s="135">
        <v>46024</v>
      </c>
      <c r="C3" s="114">
        <f>B3+5</f>
        <v>46029</v>
      </c>
      <c r="D3" s="114">
        <f>C3+7</f>
        <v>46036</v>
      </c>
      <c r="E3" s="115">
        <f>D3+7</f>
        <v>46043</v>
      </c>
      <c r="F3" s="131">
        <f t="shared" ref="F3:BA3" si="0">E3+7</f>
        <v>46050</v>
      </c>
      <c r="G3" s="114">
        <f t="shared" si="0"/>
        <v>46057</v>
      </c>
      <c r="H3" s="114">
        <f t="shared" si="0"/>
        <v>46064</v>
      </c>
      <c r="I3" s="114">
        <f t="shared" si="0"/>
        <v>46071</v>
      </c>
      <c r="J3" s="146">
        <f t="shared" si="0"/>
        <v>46078</v>
      </c>
      <c r="K3" s="135">
        <f t="shared" si="0"/>
        <v>46085</v>
      </c>
      <c r="L3" s="114">
        <f t="shared" si="0"/>
        <v>46092</v>
      </c>
      <c r="M3" s="114">
        <f t="shared" si="0"/>
        <v>46099</v>
      </c>
      <c r="N3" s="115">
        <f t="shared" si="0"/>
        <v>46106</v>
      </c>
      <c r="O3" s="131">
        <f t="shared" si="0"/>
        <v>46113</v>
      </c>
      <c r="P3" s="114">
        <f t="shared" si="0"/>
        <v>46120</v>
      </c>
      <c r="Q3" s="114">
        <f t="shared" si="0"/>
        <v>46127</v>
      </c>
      <c r="R3" s="146">
        <f t="shared" si="0"/>
        <v>46134</v>
      </c>
      <c r="S3" s="135">
        <f t="shared" si="0"/>
        <v>46141</v>
      </c>
      <c r="T3" s="114">
        <f t="shared" si="0"/>
        <v>46148</v>
      </c>
      <c r="U3" s="114">
        <f t="shared" si="0"/>
        <v>46155</v>
      </c>
      <c r="V3" s="115">
        <f t="shared" si="0"/>
        <v>46162</v>
      </c>
      <c r="W3" s="135">
        <f t="shared" si="0"/>
        <v>46169</v>
      </c>
      <c r="X3" s="114">
        <f t="shared" si="0"/>
        <v>46176</v>
      </c>
      <c r="Y3" s="114">
        <f t="shared" si="0"/>
        <v>46183</v>
      </c>
      <c r="Z3" s="115">
        <f t="shared" si="0"/>
        <v>46190</v>
      </c>
      <c r="AA3" s="135">
        <f t="shared" si="0"/>
        <v>46197</v>
      </c>
      <c r="AB3" s="114">
        <f t="shared" si="0"/>
        <v>46204</v>
      </c>
      <c r="AC3" s="114">
        <f t="shared" si="0"/>
        <v>46211</v>
      </c>
      <c r="AD3" s="115">
        <f t="shared" si="0"/>
        <v>46218</v>
      </c>
      <c r="AE3" s="135">
        <f t="shared" si="0"/>
        <v>46225</v>
      </c>
      <c r="AF3" s="114">
        <f t="shared" si="0"/>
        <v>46232</v>
      </c>
      <c r="AG3" s="114">
        <f t="shared" si="0"/>
        <v>46239</v>
      </c>
      <c r="AH3" s="115">
        <f t="shared" si="0"/>
        <v>46246</v>
      </c>
      <c r="AI3" s="135">
        <f t="shared" si="0"/>
        <v>46253</v>
      </c>
      <c r="AJ3" s="114">
        <f t="shared" si="0"/>
        <v>46260</v>
      </c>
      <c r="AK3" s="114">
        <f t="shared" si="0"/>
        <v>46267</v>
      </c>
      <c r="AL3" s="115">
        <f t="shared" si="0"/>
        <v>46274</v>
      </c>
      <c r="AM3" s="135">
        <f t="shared" si="0"/>
        <v>46281</v>
      </c>
      <c r="AN3" s="114">
        <f t="shared" si="0"/>
        <v>46288</v>
      </c>
      <c r="AO3" s="114">
        <f t="shared" si="0"/>
        <v>46295</v>
      </c>
      <c r="AP3" s="115">
        <f t="shared" si="0"/>
        <v>46302</v>
      </c>
      <c r="AQ3" s="135">
        <f t="shared" si="0"/>
        <v>46309</v>
      </c>
      <c r="AR3" s="114">
        <f t="shared" si="0"/>
        <v>46316</v>
      </c>
      <c r="AS3" s="115">
        <f t="shared" si="0"/>
        <v>46323</v>
      </c>
      <c r="AT3" s="135">
        <f t="shared" si="0"/>
        <v>46330</v>
      </c>
      <c r="AU3" s="114">
        <f t="shared" si="0"/>
        <v>46337</v>
      </c>
      <c r="AV3" s="114">
        <f t="shared" si="0"/>
        <v>46344</v>
      </c>
      <c r="AW3" s="115">
        <f t="shared" si="0"/>
        <v>46351</v>
      </c>
      <c r="AX3" s="135">
        <f t="shared" si="0"/>
        <v>46358</v>
      </c>
      <c r="AY3" s="114">
        <f t="shared" si="0"/>
        <v>46365</v>
      </c>
      <c r="AZ3" s="114">
        <f t="shared" si="0"/>
        <v>46372</v>
      </c>
      <c r="BA3" s="115">
        <f t="shared" si="0"/>
        <v>46379</v>
      </c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</row>
    <row r="4" spans="1:152" s="36" customFormat="1" ht="15" thickBot="1">
      <c r="A4" s="221"/>
      <c r="B4" s="62">
        <v>1</v>
      </c>
      <c r="C4" s="38">
        <v>2</v>
      </c>
      <c r="D4" s="38">
        <v>3</v>
      </c>
      <c r="E4" s="63">
        <v>4</v>
      </c>
      <c r="F4" s="112">
        <v>5</v>
      </c>
      <c r="G4" s="38">
        <v>6</v>
      </c>
      <c r="H4" s="38">
        <v>7</v>
      </c>
      <c r="I4" s="38">
        <v>8</v>
      </c>
      <c r="J4" s="51">
        <v>9</v>
      </c>
      <c r="K4" s="62">
        <v>10</v>
      </c>
      <c r="L4" s="38">
        <v>11</v>
      </c>
      <c r="M4" s="38">
        <v>12</v>
      </c>
      <c r="N4" s="63">
        <v>13</v>
      </c>
      <c r="O4" s="112">
        <v>14</v>
      </c>
      <c r="P4" s="38">
        <v>15</v>
      </c>
      <c r="Q4" s="38">
        <v>16</v>
      </c>
      <c r="R4" s="51">
        <v>17</v>
      </c>
      <c r="S4" s="62">
        <v>18</v>
      </c>
      <c r="T4" s="38">
        <v>19</v>
      </c>
      <c r="U4" s="38">
        <v>20</v>
      </c>
      <c r="V4" s="63">
        <v>21</v>
      </c>
      <c r="W4" s="62">
        <v>22</v>
      </c>
      <c r="X4" s="38">
        <v>23</v>
      </c>
      <c r="Y4" s="38">
        <v>24</v>
      </c>
      <c r="Z4" s="63">
        <v>25</v>
      </c>
      <c r="AA4" s="62">
        <v>26</v>
      </c>
      <c r="AB4" s="38">
        <v>27</v>
      </c>
      <c r="AC4" s="38">
        <v>28</v>
      </c>
      <c r="AD4" s="63">
        <v>29</v>
      </c>
      <c r="AE4" s="62">
        <v>30</v>
      </c>
      <c r="AF4" s="38">
        <v>31</v>
      </c>
      <c r="AG4" s="38">
        <v>32</v>
      </c>
      <c r="AH4" s="63">
        <v>33</v>
      </c>
      <c r="AI4" s="62">
        <v>34</v>
      </c>
      <c r="AJ4" s="38">
        <v>35</v>
      </c>
      <c r="AK4" s="38">
        <v>36</v>
      </c>
      <c r="AL4" s="63">
        <v>37</v>
      </c>
      <c r="AM4" s="62">
        <v>38</v>
      </c>
      <c r="AN4" s="38">
        <v>39</v>
      </c>
      <c r="AO4" s="38">
        <v>40</v>
      </c>
      <c r="AP4" s="63">
        <v>41</v>
      </c>
      <c r="AQ4" s="62">
        <v>42</v>
      </c>
      <c r="AR4" s="38">
        <v>43</v>
      </c>
      <c r="AS4" s="63">
        <v>44</v>
      </c>
      <c r="AT4" s="62">
        <v>45</v>
      </c>
      <c r="AU4" s="38">
        <v>46</v>
      </c>
      <c r="AV4" s="38">
        <v>47</v>
      </c>
      <c r="AW4" s="63">
        <v>48</v>
      </c>
      <c r="AX4" s="62">
        <v>49</v>
      </c>
      <c r="AY4" s="38">
        <v>50</v>
      </c>
      <c r="AZ4" s="38">
        <v>51</v>
      </c>
      <c r="BA4" s="63">
        <v>52</v>
      </c>
    </row>
    <row r="5" spans="1:152" s="6" customFormat="1" ht="12.6" customHeight="1">
      <c r="A5" s="126" t="s">
        <v>43</v>
      </c>
      <c r="B5" s="116"/>
      <c r="C5" s="117"/>
      <c r="D5" s="117"/>
      <c r="E5" s="118"/>
      <c r="F5" s="132">
        <v>13.5</v>
      </c>
      <c r="G5" s="117">
        <v>13.5</v>
      </c>
      <c r="H5" s="117">
        <v>13.5</v>
      </c>
      <c r="I5" s="117">
        <v>13.5</v>
      </c>
      <c r="J5" s="147">
        <v>13.5</v>
      </c>
      <c r="K5" s="116"/>
      <c r="L5" s="117"/>
      <c r="M5" s="117"/>
      <c r="N5" s="118"/>
      <c r="O5" s="132">
        <v>13.5</v>
      </c>
      <c r="P5" s="117">
        <v>13.5</v>
      </c>
      <c r="Q5" s="117">
        <v>13.5</v>
      </c>
      <c r="R5" s="147">
        <v>13.5</v>
      </c>
      <c r="S5" s="121" t="s">
        <v>88</v>
      </c>
      <c r="T5" s="133" t="s">
        <v>88</v>
      </c>
      <c r="U5" s="133" t="s">
        <v>88</v>
      </c>
      <c r="V5" s="155" t="s">
        <v>88</v>
      </c>
      <c r="W5" s="121"/>
      <c r="X5" s="119"/>
      <c r="Y5" s="119"/>
      <c r="Z5" s="120"/>
      <c r="AA5" s="121">
        <v>13.5</v>
      </c>
      <c r="AB5" s="119">
        <v>13.5</v>
      </c>
      <c r="AC5" s="119">
        <v>13.5</v>
      </c>
      <c r="AD5" s="118">
        <v>13.5</v>
      </c>
      <c r="AE5" s="121"/>
      <c r="AF5" s="119"/>
      <c r="AG5" s="119"/>
      <c r="AH5" s="120"/>
      <c r="AI5" s="121">
        <v>13.5</v>
      </c>
      <c r="AJ5" s="119">
        <v>13.5</v>
      </c>
      <c r="AK5" s="119">
        <v>13.5</v>
      </c>
      <c r="AL5" s="120">
        <v>13.5</v>
      </c>
      <c r="AM5" s="121"/>
      <c r="AN5" s="119"/>
      <c r="AO5" s="119"/>
      <c r="AP5" s="120"/>
      <c r="AQ5" s="121"/>
      <c r="AR5" s="119"/>
      <c r="AS5" s="120"/>
      <c r="AT5" s="121">
        <v>13</v>
      </c>
      <c r="AU5" s="119">
        <v>13</v>
      </c>
      <c r="AV5" s="119">
        <v>13</v>
      </c>
      <c r="AW5" s="120">
        <v>13</v>
      </c>
      <c r="AX5" s="121">
        <v>13</v>
      </c>
      <c r="AY5" s="119">
        <v>13</v>
      </c>
      <c r="AZ5" s="119">
        <v>13</v>
      </c>
      <c r="BA5" s="120">
        <v>13</v>
      </c>
      <c r="BB5" s="55"/>
      <c r="BC5" s="55"/>
      <c r="BD5" s="55"/>
      <c r="BE5" s="55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6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</row>
    <row r="6" spans="1:152" s="6" customFormat="1" ht="12.6" customHeight="1">
      <c r="A6" s="127" t="s">
        <v>73</v>
      </c>
      <c r="B6" s="121"/>
      <c r="C6" s="119"/>
      <c r="D6" s="119"/>
      <c r="E6" s="120"/>
      <c r="F6" s="133">
        <v>5.75</v>
      </c>
      <c r="G6" s="119">
        <v>5.75</v>
      </c>
      <c r="H6" s="119">
        <v>5.75</v>
      </c>
      <c r="I6" s="119">
        <v>5.75</v>
      </c>
      <c r="J6" s="148">
        <v>5.75</v>
      </c>
      <c r="K6" s="121"/>
      <c r="L6" s="119"/>
      <c r="M6" s="119"/>
      <c r="N6" s="120"/>
      <c r="O6" s="133">
        <v>5.5</v>
      </c>
      <c r="P6" s="119">
        <v>5.5</v>
      </c>
      <c r="Q6" s="119">
        <v>5.5</v>
      </c>
      <c r="R6" s="148">
        <v>5.5</v>
      </c>
      <c r="S6" s="121" t="s">
        <v>89</v>
      </c>
      <c r="T6" s="119" t="s">
        <v>89</v>
      </c>
      <c r="U6" s="119" t="s">
        <v>89</v>
      </c>
      <c r="V6" s="120" t="s">
        <v>89</v>
      </c>
      <c r="W6" s="121"/>
      <c r="X6" s="119"/>
      <c r="Y6" s="119"/>
      <c r="Z6" s="120"/>
      <c r="AA6" s="121">
        <v>5.5</v>
      </c>
      <c r="AB6" s="119">
        <v>5.5</v>
      </c>
      <c r="AC6" s="119">
        <v>5.5</v>
      </c>
      <c r="AD6" s="120">
        <v>5.5</v>
      </c>
      <c r="AE6" s="121" t="s">
        <v>89</v>
      </c>
      <c r="AF6" s="119" t="s">
        <v>89</v>
      </c>
      <c r="AG6" s="119" t="s">
        <v>89</v>
      </c>
      <c r="AH6" s="120" t="s">
        <v>89</v>
      </c>
      <c r="AI6" s="121"/>
      <c r="AJ6" s="119"/>
      <c r="AK6" s="119"/>
      <c r="AL6" s="120"/>
      <c r="AM6" s="121">
        <v>5.5</v>
      </c>
      <c r="AN6" s="119">
        <v>5.5</v>
      </c>
      <c r="AO6" s="119">
        <v>5.5</v>
      </c>
      <c r="AP6" s="120">
        <v>5.5</v>
      </c>
      <c r="AQ6" s="121" t="s">
        <v>89</v>
      </c>
      <c r="AR6" s="119" t="s">
        <v>89</v>
      </c>
      <c r="AS6" s="120" t="s">
        <v>89</v>
      </c>
      <c r="AT6" s="121"/>
      <c r="AU6" s="119"/>
      <c r="AV6" s="119"/>
      <c r="AW6" s="120"/>
      <c r="AX6" s="121">
        <v>5.5</v>
      </c>
      <c r="AY6" s="119">
        <v>5.5</v>
      </c>
      <c r="AZ6" s="119">
        <v>5.5</v>
      </c>
      <c r="BA6" s="120">
        <v>5.5</v>
      </c>
      <c r="BB6" s="55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</row>
    <row r="7" spans="1:152" s="6" customFormat="1" ht="12.6" customHeight="1">
      <c r="A7" s="128" t="s">
        <v>75</v>
      </c>
      <c r="B7" s="121" t="s">
        <v>90</v>
      </c>
      <c r="C7" s="119" t="s">
        <v>90</v>
      </c>
      <c r="D7" s="119" t="s">
        <v>90</v>
      </c>
      <c r="E7" s="120" t="s">
        <v>90</v>
      </c>
      <c r="F7" s="133"/>
      <c r="G7" s="119"/>
      <c r="H7" s="119"/>
      <c r="I7" s="119"/>
      <c r="J7" s="148"/>
      <c r="K7" s="121">
        <v>4</v>
      </c>
      <c r="L7" s="119">
        <v>4</v>
      </c>
      <c r="M7" s="119">
        <v>4</v>
      </c>
      <c r="N7" s="120">
        <v>4</v>
      </c>
      <c r="O7" s="133" t="s">
        <v>90</v>
      </c>
      <c r="P7" s="119" t="s">
        <v>90</v>
      </c>
      <c r="Q7" s="119" t="s">
        <v>90</v>
      </c>
      <c r="R7" s="148" t="s">
        <v>90</v>
      </c>
      <c r="S7" s="121"/>
      <c r="T7" s="119"/>
      <c r="U7" s="119"/>
      <c r="V7" s="120"/>
      <c r="W7" s="121">
        <v>4</v>
      </c>
      <c r="X7" s="119">
        <v>4</v>
      </c>
      <c r="Y7" s="119">
        <v>4</v>
      </c>
      <c r="Z7" s="120">
        <v>4</v>
      </c>
      <c r="AA7" s="121"/>
      <c r="AB7" s="119"/>
      <c r="AC7" s="119"/>
      <c r="AD7" s="120"/>
      <c r="AE7" s="121">
        <v>4</v>
      </c>
      <c r="AF7" s="119">
        <v>4</v>
      </c>
      <c r="AG7" s="119">
        <v>4</v>
      </c>
      <c r="AH7" s="120">
        <v>4</v>
      </c>
      <c r="AI7" s="121" t="s">
        <v>90</v>
      </c>
      <c r="AJ7" s="119" t="s">
        <v>90</v>
      </c>
      <c r="AK7" s="119" t="s">
        <v>90</v>
      </c>
      <c r="AL7" s="120" t="s">
        <v>90</v>
      </c>
      <c r="AM7" s="121"/>
      <c r="AN7" s="119"/>
      <c r="AO7" s="119"/>
      <c r="AP7" s="120"/>
      <c r="AQ7" s="121">
        <v>4</v>
      </c>
      <c r="AR7" s="119">
        <v>4</v>
      </c>
      <c r="AS7" s="120">
        <v>4</v>
      </c>
      <c r="AT7" s="121"/>
      <c r="AU7" s="119"/>
      <c r="AV7" s="119"/>
      <c r="AW7" s="120"/>
      <c r="AX7" s="121">
        <v>4</v>
      </c>
      <c r="AY7" s="119">
        <v>4</v>
      </c>
      <c r="AZ7" s="119">
        <v>4</v>
      </c>
      <c r="BA7" s="120">
        <v>4</v>
      </c>
      <c r="BB7" s="55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</row>
    <row r="8" spans="1:152" s="6" customFormat="1" ht="12.6" customHeight="1">
      <c r="A8" s="127" t="s">
        <v>78</v>
      </c>
      <c r="B8" s="122"/>
      <c r="C8" s="124"/>
      <c r="D8" s="124"/>
      <c r="E8" s="123"/>
      <c r="F8" s="132">
        <v>3.5</v>
      </c>
      <c r="G8" s="117">
        <v>3.5</v>
      </c>
      <c r="H8" s="117">
        <v>3.5</v>
      </c>
      <c r="I8" s="117">
        <v>3.5</v>
      </c>
      <c r="J8" s="149">
        <v>3.5</v>
      </c>
      <c r="K8" s="122" t="s">
        <v>91</v>
      </c>
      <c r="L8" s="124" t="s">
        <v>92</v>
      </c>
      <c r="M8" s="124" t="s">
        <v>92</v>
      </c>
      <c r="N8" s="123" t="s">
        <v>92</v>
      </c>
      <c r="O8" s="132"/>
      <c r="P8" s="117"/>
      <c r="Q8" s="117"/>
      <c r="R8" s="149"/>
      <c r="S8" s="86">
        <v>3.75</v>
      </c>
      <c r="T8" s="49">
        <v>3.75</v>
      </c>
      <c r="U8" s="49">
        <v>3.75</v>
      </c>
      <c r="V8" s="120">
        <v>3.75</v>
      </c>
      <c r="W8" s="116"/>
      <c r="X8" s="117"/>
      <c r="Y8" s="117"/>
      <c r="Z8" s="123"/>
      <c r="AA8" s="122">
        <v>3.75</v>
      </c>
      <c r="AB8" s="124">
        <v>3.75</v>
      </c>
      <c r="AC8" s="124">
        <v>3.75</v>
      </c>
      <c r="AD8" s="118">
        <v>3.75</v>
      </c>
      <c r="AE8" s="116" t="s">
        <v>91</v>
      </c>
      <c r="AF8" s="132" t="s">
        <v>91</v>
      </c>
      <c r="AG8" s="132" t="s">
        <v>91</v>
      </c>
      <c r="AH8" s="157" t="s">
        <v>91</v>
      </c>
      <c r="AI8" s="116"/>
      <c r="AJ8" s="117"/>
      <c r="AK8" s="117"/>
      <c r="AL8" s="123"/>
      <c r="AM8" s="122">
        <v>3.5</v>
      </c>
      <c r="AN8" s="124">
        <v>3.5</v>
      </c>
      <c r="AO8" s="124">
        <v>3.5</v>
      </c>
      <c r="AP8" s="118">
        <v>3.5</v>
      </c>
      <c r="AQ8" s="116"/>
      <c r="AR8" s="117"/>
      <c r="AS8" s="118"/>
      <c r="AT8" s="116"/>
      <c r="AU8" s="117"/>
      <c r="AV8" s="117"/>
      <c r="AW8" s="118"/>
      <c r="AX8" s="122"/>
      <c r="AY8" s="124"/>
      <c r="AZ8" s="124"/>
      <c r="BA8" s="123"/>
      <c r="BB8" s="55"/>
      <c r="BC8" s="55"/>
      <c r="BD8" s="55"/>
      <c r="BE8" s="55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</row>
    <row r="9" spans="1:152">
      <c r="A9" s="129" t="s">
        <v>81</v>
      </c>
      <c r="B9" s="72"/>
      <c r="C9" s="42"/>
      <c r="D9" s="42"/>
      <c r="E9" s="73"/>
      <c r="F9" s="137">
        <v>6</v>
      </c>
      <c r="G9" s="49">
        <v>6</v>
      </c>
      <c r="H9" s="49">
        <v>6</v>
      </c>
      <c r="I9" s="49">
        <v>6</v>
      </c>
      <c r="J9" s="150">
        <v>6</v>
      </c>
      <c r="K9" s="72"/>
      <c r="L9" s="42"/>
      <c r="M9" s="42"/>
      <c r="N9" s="73"/>
      <c r="O9" s="133">
        <v>5.5</v>
      </c>
      <c r="P9" s="119">
        <v>5.5</v>
      </c>
      <c r="Q9" s="119">
        <v>5.5</v>
      </c>
      <c r="R9" s="148">
        <v>5.5</v>
      </c>
      <c r="S9" s="72"/>
      <c r="T9" s="42"/>
      <c r="U9" s="42"/>
      <c r="V9" s="73"/>
      <c r="W9" s="86">
        <v>6</v>
      </c>
      <c r="X9" s="49">
        <v>6</v>
      </c>
      <c r="Y9" s="49">
        <v>6</v>
      </c>
      <c r="Z9" s="82">
        <v>6</v>
      </c>
      <c r="AA9" s="72"/>
      <c r="AB9" s="43"/>
      <c r="AC9" s="43"/>
      <c r="AD9" s="71"/>
      <c r="AE9" s="86">
        <v>6</v>
      </c>
      <c r="AF9" s="49">
        <v>6</v>
      </c>
      <c r="AG9" s="49">
        <v>6</v>
      </c>
      <c r="AH9" s="82">
        <v>6</v>
      </c>
      <c r="AI9" s="70"/>
      <c r="AJ9" s="43"/>
      <c r="AK9" s="42"/>
      <c r="AL9" s="73"/>
      <c r="AM9" s="70">
        <v>6</v>
      </c>
      <c r="AN9" s="43">
        <v>6</v>
      </c>
      <c r="AO9" s="43">
        <v>6</v>
      </c>
      <c r="AP9" s="71">
        <v>6</v>
      </c>
      <c r="AQ9" s="72"/>
      <c r="AR9" s="42"/>
      <c r="AS9" s="73"/>
      <c r="AT9" s="70">
        <v>6</v>
      </c>
      <c r="AU9" s="43">
        <v>6</v>
      </c>
      <c r="AV9" s="43">
        <v>6</v>
      </c>
      <c r="AW9" s="71">
        <v>6</v>
      </c>
      <c r="AX9" s="72" t="s">
        <v>93</v>
      </c>
      <c r="AY9" s="42" t="s">
        <v>93</v>
      </c>
      <c r="AZ9" s="42" t="s">
        <v>93</v>
      </c>
      <c r="BA9" s="73" t="s">
        <v>93</v>
      </c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</row>
    <row r="10" spans="1:152">
      <c r="A10" s="129" t="s">
        <v>87</v>
      </c>
      <c r="B10" s="72"/>
      <c r="C10" s="42"/>
      <c r="D10" s="42"/>
      <c r="E10" s="73"/>
      <c r="F10" s="134"/>
      <c r="G10" s="42"/>
      <c r="H10" s="117"/>
      <c r="I10" s="117"/>
      <c r="J10" s="151"/>
      <c r="K10" s="86">
        <v>3.75</v>
      </c>
      <c r="L10" s="49">
        <v>3.75</v>
      </c>
      <c r="M10" s="49">
        <v>3.75</v>
      </c>
      <c r="N10" s="82">
        <v>3.75</v>
      </c>
      <c r="O10" s="134"/>
      <c r="P10" s="119"/>
      <c r="Q10" s="119"/>
      <c r="R10" s="148"/>
      <c r="S10" s="86">
        <v>3.75</v>
      </c>
      <c r="T10" s="49">
        <v>3.75</v>
      </c>
      <c r="U10" s="49">
        <v>3.75</v>
      </c>
      <c r="V10" s="120">
        <v>3.75</v>
      </c>
      <c r="W10" s="89"/>
      <c r="X10" s="47"/>
      <c r="Y10" s="48"/>
      <c r="Z10" s="92"/>
      <c r="AA10" s="91"/>
      <c r="AB10" s="48"/>
      <c r="AC10" s="48"/>
      <c r="AD10" s="92"/>
      <c r="AE10" s="91"/>
      <c r="AF10" s="48"/>
      <c r="AG10" s="48"/>
      <c r="AH10" s="92"/>
      <c r="AI10" s="91"/>
      <c r="AJ10" s="48"/>
      <c r="AK10" s="48"/>
      <c r="AL10" s="92"/>
      <c r="AM10" s="91"/>
      <c r="AN10" s="48"/>
      <c r="AO10" s="48"/>
      <c r="AP10" s="92"/>
      <c r="AQ10" s="91"/>
      <c r="AR10" s="48"/>
      <c r="AS10" s="92"/>
      <c r="AT10" s="91"/>
      <c r="AU10" s="48"/>
      <c r="AV10" s="48"/>
      <c r="AW10" s="92"/>
      <c r="AX10" s="91"/>
      <c r="AY10" s="48"/>
      <c r="AZ10" s="48"/>
      <c r="BA10" s="92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</row>
    <row r="11" spans="1:152">
      <c r="A11" s="129" t="s">
        <v>83</v>
      </c>
      <c r="B11" s="72" t="s">
        <v>85</v>
      </c>
      <c r="C11" s="42" t="s">
        <v>94</v>
      </c>
      <c r="D11" s="42" t="s">
        <v>94</v>
      </c>
      <c r="E11" s="73" t="s">
        <v>94</v>
      </c>
      <c r="F11" s="134" t="s">
        <v>94</v>
      </c>
      <c r="G11" s="42" t="s">
        <v>95</v>
      </c>
      <c r="H11" s="42" t="s">
        <v>95</v>
      </c>
      <c r="I11" s="42" t="s">
        <v>95</v>
      </c>
      <c r="J11" s="152" t="s">
        <v>95</v>
      </c>
      <c r="K11" s="72" t="s">
        <v>95</v>
      </c>
      <c r="L11" s="42" t="s">
        <v>95</v>
      </c>
      <c r="M11" s="42" t="s">
        <v>95</v>
      </c>
      <c r="N11" s="73" t="s">
        <v>95</v>
      </c>
      <c r="O11" s="134" t="s">
        <v>95</v>
      </c>
      <c r="P11" s="42" t="s">
        <v>95</v>
      </c>
      <c r="Q11" s="42" t="s">
        <v>95</v>
      </c>
      <c r="R11" s="152" t="s">
        <v>95</v>
      </c>
      <c r="S11" s="72" t="s">
        <v>95</v>
      </c>
      <c r="T11" s="42" t="s">
        <v>95</v>
      </c>
      <c r="U11" s="48"/>
      <c r="V11" s="92"/>
      <c r="W11" s="91"/>
      <c r="X11" s="48"/>
      <c r="Y11" s="48"/>
      <c r="Z11" s="92"/>
      <c r="AA11" s="91"/>
      <c r="AB11" s="48"/>
      <c r="AC11" s="48"/>
      <c r="AD11" s="92"/>
      <c r="AE11" s="91"/>
      <c r="AF11" s="48"/>
      <c r="AG11" s="48"/>
      <c r="AH11" s="92"/>
      <c r="AI11" s="91"/>
      <c r="AJ11" s="48"/>
      <c r="AK11" s="48"/>
      <c r="AL11" s="92"/>
      <c r="AM11" s="91"/>
      <c r="AN11" s="48"/>
      <c r="AO11" s="48"/>
      <c r="AP11" s="92"/>
      <c r="AQ11" s="91"/>
      <c r="AR11" s="48"/>
      <c r="AS11" s="92"/>
      <c r="AT11" s="91"/>
      <c r="AU11" s="48"/>
      <c r="AV11" s="48"/>
      <c r="AW11" s="92"/>
      <c r="AX11" s="91"/>
      <c r="AY11" s="48"/>
      <c r="AZ11" s="48"/>
      <c r="BA11" s="92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</row>
    <row r="12" spans="1:152">
      <c r="A12" s="129" t="s">
        <v>86</v>
      </c>
      <c r="B12" s="91"/>
      <c r="C12" s="48"/>
      <c r="D12" s="48"/>
      <c r="E12" s="92"/>
      <c r="F12" s="125"/>
      <c r="G12" s="48"/>
      <c r="H12" s="48"/>
      <c r="I12" s="48"/>
      <c r="J12" s="52"/>
      <c r="K12" s="91"/>
      <c r="L12" s="48"/>
      <c r="M12" s="48"/>
      <c r="N12" s="92"/>
      <c r="O12" s="125"/>
      <c r="P12" s="48"/>
      <c r="Q12" s="48"/>
      <c r="R12" s="52"/>
      <c r="S12" s="91"/>
      <c r="T12" s="48"/>
      <c r="U12" s="42" t="s">
        <v>95</v>
      </c>
      <c r="V12" s="73" t="s">
        <v>95</v>
      </c>
      <c r="W12" s="72" t="s">
        <v>95</v>
      </c>
      <c r="X12" s="42" t="s">
        <v>95</v>
      </c>
      <c r="Y12" s="42" t="s">
        <v>95</v>
      </c>
      <c r="Z12" s="73" t="s">
        <v>95</v>
      </c>
      <c r="AA12" s="72" t="s">
        <v>95</v>
      </c>
      <c r="AB12" s="42" t="s">
        <v>95</v>
      </c>
      <c r="AC12" s="42" t="s">
        <v>95</v>
      </c>
      <c r="AD12" s="73" t="s">
        <v>95</v>
      </c>
      <c r="AE12" s="72" t="s">
        <v>95</v>
      </c>
      <c r="AF12" s="42" t="s">
        <v>95</v>
      </c>
      <c r="AG12" s="42" t="s">
        <v>95</v>
      </c>
      <c r="AH12" s="73" t="s">
        <v>95</v>
      </c>
      <c r="AI12" s="72" t="s">
        <v>95</v>
      </c>
      <c r="AJ12" s="42" t="s">
        <v>95</v>
      </c>
      <c r="AK12" s="42" t="s">
        <v>95</v>
      </c>
      <c r="AL12" s="73" t="s">
        <v>95</v>
      </c>
      <c r="AM12" s="72" t="s">
        <v>95</v>
      </c>
      <c r="AN12" s="42" t="s">
        <v>95</v>
      </c>
      <c r="AO12" s="42" t="s">
        <v>95</v>
      </c>
      <c r="AP12" s="73" t="s">
        <v>95</v>
      </c>
      <c r="AQ12" s="72" t="s">
        <v>95</v>
      </c>
      <c r="AR12" s="42" t="s">
        <v>95</v>
      </c>
      <c r="AS12" s="73" t="s">
        <v>95</v>
      </c>
      <c r="AT12" s="72" t="s">
        <v>95</v>
      </c>
      <c r="AU12" s="42" t="s">
        <v>95</v>
      </c>
      <c r="AV12" s="42" t="s">
        <v>95</v>
      </c>
      <c r="AW12" s="73" t="s">
        <v>95</v>
      </c>
      <c r="AX12" s="72" t="s">
        <v>95</v>
      </c>
      <c r="AY12" s="42" t="s">
        <v>95</v>
      </c>
      <c r="AZ12" s="42" t="s">
        <v>95</v>
      </c>
      <c r="BA12" s="73" t="s">
        <v>95</v>
      </c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</row>
    <row r="13" spans="1:152">
      <c r="A13" s="129" t="s">
        <v>96</v>
      </c>
      <c r="B13" s="72"/>
      <c r="C13" s="42"/>
      <c r="D13" s="42"/>
      <c r="E13" s="73"/>
      <c r="F13" s="136">
        <v>1.9</v>
      </c>
      <c r="G13" s="43">
        <v>1.9</v>
      </c>
      <c r="H13" s="43">
        <v>1.9</v>
      </c>
      <c r="I13" s="43">
        <v>1.9</v>
      </c>
      <c r="J13" s="150">
        <v>1.9</v>
      </c>
      <c r="K13" s="72"/>
      <c r="L13" s="42"/>
      <c r="M13" s="43"/>
      <c r="N13" s="71"/>
      <c r="O13" s="136">
        <v>1.9</v>
      </c>
      <c r="P13" s="43">
        <v>1.9</v>
      </c>
      <c r="Q13" s="43">
        <v>1.9</v>
      </c>
      <c r="R13" s="151">
        <v>1.9</v>
      </c>
      <c r="S13" s="72"/>
      <c r="T13" s="42"/>
      <c r="U13" s="42"/>
      <c r="V13" s="73"/>
      <c r="W13" s="72"/>
      <c r="X13" s="42"/>
      <c r="Y13" s="42"/>
      <c r="Z13" s="73"/>
      <c r="AA13" s="86">
        <v>1.9</v>
      </c>
      <c r="AB13" s="49">
        <v>1.9</v>
      </c>
      <c r="AC13" s="49">
        <v>1.9</v>
      </c>
      <c r="AD13" s="82">
        <v>1.9</v>
      </c>
      <c r="AE13" s="70"/>
      <c r="AF13" s="43"/>
      <c r="AG13" s="43"/>
      <c r="AH13" s="71"/>
      <c r="AI13" s="86">
        <v>1.9</v>
      </c>
      <c r="AJ13" s="49">
        <v>1.9</v>
      </c>
      <c r="AK13" s="49">
        <v>1.9</v>
      </c>
      <c r="AL13" s="82">
        <v>1.9</v>
      </c>
      <c r="AM13" s="70"/>
      <c r="AN13" s="43"/>
      <c r="AO13" s="42"/>
      <c r="AP13" s="73"/>
      <c r="AQ13" s="86">
        <v>1.9</v>
      </c>
      <c r="AR13" s="49">
        <v>1.9</v>
      </c>
      <c r="AS13" s="82">
        <v>1.9</v>
      </c>
      <c r="AT13" s="86"/>
      <c r="AU13" s="42"/>
      <c r="AV13" s="42"/>
      <c r="AW13" s="82"/>
      <c r="AX13" s="86">
        <v>1.9</v>
      </c>
      <c r="AY13" s="49">
        <v>1.9</v>
      </c>
      <c r="AZ13" s="49">
        <v>1.9</v>
      </c>
      <c r="BA13" s="82">
        <v>1.9</v>
      </c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</row>
    <row r="14" spans="1:152">
      <c r="A14" s="129" t="s">
        <v>97</v>
      </c>
      <c r="B14" s="138"/>
      <c r="C14" s="139"/>
      <c r="D14" s="139"/>
      <c r="E14" s="140"/>
      <c r="F14" s="144"/>
      <c r="G14" s="139"/>
      <c r="H14" s="139"/>
      <c r="I14" s="139"/>
      <c r="J14" s="153"/>
      <c r="K14" s="138"/>
      <c r="L14" s="139"/>
      <c r="M14" s="139"/>
      <c r="N14" s="140"/>
      <c r="O14" s="144"/>
      <c r="P14" s="225" t="s">
        <v>98</v>
      </c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7"/>
      <c r="AB14" s="225" t="s">
        <v>99</v>
      </c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7"/>
      <c r="AN14" s="139"/>
      <c r="AO14" s="139"/>
      <c r="AP14" s="140"/>
      <c r="AQ14" s="138"/>
      <c r="AR14" s="139"/>
      <c r="AS14" s="140"/>
      <c r="AT14" s="138"/>
      <c r="AU14" s="139"/>
      <c r="AV14" s="139"/>
      <c r="AW14" s="140" t="s">
        <v>100</v>
      </c>
      <c r="AX14" s="138"/>
      <c r="AY14" s="139"/>
      <c r="AZ14" s="139"/>
      <c r="BA14" s="140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</row>
    <row r="15" spans="1:152" ht="15" thickBot="1">
      <c r="A15" s="130" t="s">
        <v>101</v>
      </c>
      <c r="B15" s="141"/>
      <c r="C15" s="142"/>
      <c r="D15" s="142"/>
      <c r="E15" s="143"/>
      <c r="F15" s="145"/>
      <c r="G15" s="142"/>
      <c r="H15" s="142"/>
      <c r="I15" s="142"/>
      <c r="J15" s="154"/>
      <c r="K15" s="141"/>
      <c r="L15" s="142"/>
      <c r="M15" s="142"/>
      <c r="N15" s="143"/>
      <c r="O15" s="145"/>
      <c r="P15" s="142"/>
      <c r="Q15" s="142"/>
      <c r="R15" s="154"/>
      <c r="S15" s="141"/>
      <c r="T15" s="142"/>
      <c r="U15" s="142"/>
      <c r="V15" s="143"/>
      <c r="W15" s="141"/>
      <c r="X15" s="142"/>
      <c r="Y15" s="142"/>
      <c r="Z15" s="143"/>
      <c r="AA15" s="141"/>
      <c r="AB15" s="222" t="s">
        <v>102</v>
      </c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4"/>
      <c r="AN15" s="142"/>
      <c r="AO15" s="142"/>
      <c r="AP15" s="143"/>
      <c r="AQ15" s="141"/>
      <c r="AR15" s="142"/>
      <c r="AS15" s="143"/>
      <c r="AT15" s="141"/>
      <c r="AU15" s="142"/>
      <c r="AV15" s="142"/>
      <c r="AW15" s="143"/>
      <c r="AX15" s="141"/>
      <c r="AY15" s="142"/>
      <c r="AZ15" s="142"/>
      <c r="BA15" s="143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</row>
    <row r="16" spans="1:152"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</row>
    <row r="17" spans="54:152"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</row>
    <row r="18" spans="54:152"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</row>
    <row r="19" spans="54:152"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</row>
    <row r="20" spans="54:152"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</row>
    <row r="21" spans="54:152"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</row>
    <row r="22" spans="54:152"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</row>
    <row r="23" spans="54:152"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57"/>
    </row>
    <row r="24" spans="54:152"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57"/>
    </row>
    <row r="25" spans="54:152"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57"/>
    </row>
    <row r="26" spans="54:152"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57"/>
    </row>
    <row r="27" spans="54:152"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57"/>
    </row>
    <row r="28" spans="54:152"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57"/>
    </row>
    <row r="29" spans="54:152"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57"/>
    </row>
    <row r="30" spans="54:152"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57"/>
    </row>
    <row r="31" spans="54:152"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57"/>
    </row>
    <row r="32" spans="54:152"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57"/>
    </row>
    <row r="33" spans="54:115"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57"/>
    </row>
    <row r="34" spans="54:115"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57"/>
    </row>
    <row r="35" spans="54:115"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57"/>
    </row>
    <row r="36" spans="54:115"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57"/>
    </row>
    <row r="37" spans="54:115"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57"/>
    </row>
    <row r="38" spans="54:115"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 s="57"/>
    </row>
    <row r="39" spans="54:115"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 s="57"/>
    </row>
    <row r="40" spans="54:115"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s="57"/>
    </row>
    <row r="41" spans="54:115"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s="57"/>
    </row>
    <row r="42" spans="54:115"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 s="57"/>
    </row>
    <row r="43" spans="54:115"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 s="57"/>
    </row>
    <row r="44" spans="54:115"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57"/>
    </row>
    <row r="45" spans="54:115"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57"/>
    </row>
    <row r="46" spans="54:115"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57"/>
    </row>
    <row r="47" spans="54:115"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s="57"/>
    </row>
    <row r="48" spans="54:115"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s="57"/>
    </row>
    <row r="49" spans="54:115"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 s="57"/>
    </row>
    <row r="50" spans="54:115"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s="57"/>
    </row>
    <row r="51" spans="54:115"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 s="57"/>
    </row>
    <row r="52" spans="54:115"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s="57"/>
    </row>
    <row r="53" spans="54:115"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 s="57"/>
    </row>
    <row r="54" spans="54:115"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 s="57"/>
    </row>
    <row r="55" spans="54:115"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s="57"/>
    </row>
    <row r="56" spans="54:115"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 s="57"/>
    </row>
    <row r="57" spans="54:115"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s="57"/>
    </row>
    <row r="58" spans="54:115"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s="57"/>
    </row>
    <row r="59" spans="54:115"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s="57"/>
    </row>
    <row r="60" spans="54:115"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s="57"/>
    </row>
    <row r="61" spans="54:115"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 s="57"/>
    </row>
    <row r="62" spans="54:115"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s="57"/>
    </row>
    <row r="63" spans="54:115"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 s="57"/>
    </row>
    <row r="64" spans="54:115"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 s="57"/>
    </row>
    <row r="65" spans="54:115"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s="57"/>
    </row>
    <row r="66" spans="54:115"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s="57"/>
    </row>
    <row r="67" spans="54:115"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 s="57"/>
    </row>
    <row r="68" spans="54:115"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 s="57"/>
    </row>
    <row r="69" spans="54:115"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s="57"/>
    </row>
    <row r="70" spans="54:115"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 s="57"/>
    </row>
    <row r="71" spans="54:115"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 s="57"/>
    </row>
    <row r="72" spans="54:115"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 s="57"/>
    </row>
    <row r="73" spans="54:115"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s="57"/>
    </row>
    <row r="74" spans="54:115"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s="57"/>
    </row>
    <row r="75" spans="54:115"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s="57"/>
    </row>
    <row r="76" spans="54:115"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s="57"/>
    </row>
    <row r="77" spans="54:115"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 s="57"/>
    </row>
    <row r="78" spans="54:115"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 s="57"/>
    </row>
    <row r="79" spans="54:115"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s="57"/>
    </row>
    <row r="80" spans="54:115"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s="57"/>
    </row>
    <row r="81" spans="54:115"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s="57"/>
    </row>
    <row r="82" spans="54:115"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s="57"/>
    </row>
    <row r="83" spans="54:115"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s="57"/>
    </row>
    <row r="84" spans="54:115"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 s="57"/>
    </row>
    <row r="85" spans="54:115"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s="57"/>
    </row>
    <row r="86" spans="54:115"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s="57"/>
    </row>
    <row r="87" spans="54:115"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s="57"/>
    </row>
    <row r="88" spans="54:115"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s="57"/>
    </row>
    <row r="89" spans="54:115"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s="57"/>
    </row>
    <row r="90" spans="54:115"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 s="57"/>
    </row>
    <row r="91" spans="54:115"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s="57"/>
    </row>
    <row r="92" spans="54:115"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 s="57"/>
    </row>
    <row r="93" spans="54:115"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 s="57"/>
    </row>
    <row r="94" spans="54:115"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s="57"/>
    </row>
    <row r="95" spans="54:115"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 s="57"/>
    </row>
    <row r="96" spans="54:115"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 s="57"/>
    </row>
    <row r="97" spans="54:115"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s="57"/>
    </row>
    <row r="98" spans="54:115"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 s="57"/>
    </row>
    <row r="99" spans="54:115"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 s="57"/>
    </row>
    <row r="100" spans="54:115"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 s="57"/>
    </row>
    <row r="101" spans="54:115"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 s="57"/>
    </row>
    <row r="102" spans="54:115"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 s="57"/>
    </row>
    <row r="103" spans="54:115"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 s="57"/>
    </row>
    <row r="104" spans="54:115"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 s="57"/>
    </row>
    <row r="105" spans="54:115"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 s="57"/>
    </row>
    <row r="106" spans="54:115"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 s="57"/>
    </row>
    <row r="107" spans="54:115"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 s="57"/>
    </row>
    <row r="108" spans="54:115"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 s="57"/>
    </row>
    <row r="109" spans="54:115"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 s="57"/>
    </row>
    <row r="110" spans="54:115"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 s="57"/>
    </row>
    <row r="111" spans="54:115"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 s="57"/>
    </row>
    <row r="112" spans="54:115"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 s="57"/>
    </row>
    <row r="113" spans="54:115"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 s="57"/>
    </row>
    <row r="114" spans="54:115"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 s="57"/>
    </row>
    <row r="115" spans="54:115"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 s="57"/>
    </row>
    <row r="116" spans="54:115"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 s="57"/>
    </row>
    <row r="117" spans="54:115"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 s="57"/>
    </row>
    <row r="118" spans="54:115"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 s="57"/>
    </row>
    <row r="119" spans="54:115"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 s="57"/>
    </row>
    <row r="120" spans="54:115"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 s="57"/>
    </row>
    <row r="121" spans="54:115"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 s="57"/>
    </row>
    <row r="122" spans="54:115"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 s="57"/>
    </row>
    <row r="123" spans="54:115"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 s="57"/>
    </row>
    <row r="124" spans="54:115"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 s="57"/>
    </row>
    <row r="125" spans="54:115"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 s="57"/>
    </row>
    <row r="126" spans="54:115"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 s="57"/>
    </row>
    <row r="127" spans="54:115"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 s="57"/>
    </row>
    <row r="128" spans="54:115"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 s="57"/>
    </row>
    <row r="129" spans="54:115"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 s="57"/>
    </row>
    <row r="130" spans="54:115"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 s="57"/>
    </row>
    <row r="131" spans="54:115"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 s="57"/>
    </row>
    <row r="132" spans="54:115"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 s="57"/>
    </row>
    <row r="133" spans="54:115"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 s="57"/>
    </row>
    <row r="134" spans="54:115"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 s="57"/>
    </row>
    <row r="135" spans="54:115"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 s="57"/>
    </row>
    <row r="136" spans="54:115"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 s="57"/>
    </row>
    <row r="137" spans="54:115"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 s="57"/>
    </row>
    <row r="138" spans="54:115"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 s="57"/>
    </row>
    <row r="139" spans="54:115"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 s="57"/>
    </row>
    <row r="140" spans="54:115"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 s="57"/>
    </row>
    <row r="141" spans="54:115"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 s="57"/>
    </row>
    <row r="142" spans="54:115"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 s="57"/>
    </row>
    <row r="143" spans="54:115"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 s="57"/>
    </row>
    <row r="144" spans="54:115"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 s="57"/>
    </row>
    <row r="145" spans="54:115"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 s="57"/>
    </row>
    <row r="146" spans="54:115"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 s="57"/>
    </row>
    <row r="147" spans="54:115"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 s="57"/>
    </row>
    <row r="148" spans="54:115"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 s="57"/>
    </row>
    <row r="149" spans="54:115"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 s="57"/>
    </row>
    <row r="150" spans="54:115"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 s="57"/>
    </row>
    <row r="151" spans="54:115"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 s="57"/>
    </row>
    <row r="152" spans="54:115"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 s="57"/>
    </row>
    <row r="153" spans="54:115"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 s="57"/>
    </row>
    <row r="154" spans="54:115"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 s="57"/>
    </row>
    <row r="155" spans="54:115"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 s="57"/>
    </row>
    <row r="156" spans="54:115"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 s="57"/>
    </row>
    <row r="157" spans="54:115"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 s="57"/>
    </row>
    <row r="158" spans="54:115"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 s="57"/>
    </row>
    <row r="159" spans="54:115"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 s="57"/>
    </row>
    <row r="160" spans="54:115"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 s="57"/>
    </row>
    <row r="161" spans="54:115"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 s="57"/>
    </row>
    <row r="162" spans="54:115"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 s="57"/>
    </row>
    <row r="163" spans="54:115"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 s="57"/>
    </row>
    <row r="164" spans="54:115"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 s="57"/>
    </row>
    <row r="165" spans="54:115"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 s="57"/>
    </row>
    <row r="166" spans="54:115"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 s="57"/>
    </row>
    <row r="167" spans="54:115"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 s="57"/>
    </row>
    <row r="168" spans="54:115"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 s="57"/>
    </row>
    <row r="169" spans="54:115"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 s="57"/>
    </row>
    <row r="170" spans="54:115"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 s="57"/>
    </row>
    <row r="171" spans="54:115"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 s="57"/>
    </row>
    <row r="172" spans="54:115"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 s="57"/>
    </row>
    <row r="173" spans="54:115"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 s="57"/>
    </row>
    <row r="174" spans="54:115"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 s="57"/>
    </row>
    <row r="175" spans="54:115"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 s="57"/>
    </row>
    <row r="176" spans="54:115"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 s="57"/>
    </row>
    <row r="177" spans="54:115"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 s="57"/>
    </row>
    <row r="178" spans="54:115"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 s="57"/>
    </row>
    <row r="179" spans="54:115"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 s="57"/>
    </row>
    <row r="180" spans="54:115"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 s="57"/>
    </row>
    <row r="181" spans="54:115"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 s="57"/>
    </row>
    <row r="182" spans="54:115"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 s="57"/>
    </row>
    <row r="183" spans="54:115"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 s="57"/>
    </row>
    <row r="184" spans="54:115"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 s="57"/>
    </row>
    <row r="185" spans="54:115"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 s="57"/>
    </row>
    <row r="186" spans="54:115"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 s="57"/>
    </row>
    <row r="187" spans="54:115"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 s="57"/>
    </row>
    <row r="188" spans="54:115"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 s="57"/>
    </row>
    <row r="189" spans="54:115"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 s="57"/>
    </row>
    <row r="190" spans="54:115"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 s="57"/>
    </row>
    <row r="191" spans="54:115"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 s="57"/>
    </row>
    <row r="192" spans="54:115"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 s="57"/>
    </row>
    <row r="193" spans="54:115"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 s="57"/>
    </row>
    <row r="194" spans="54:115"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 s="57"/>
    </row>
    <row r="195" spans="54:115"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 s="57"/>
    </row>
    <row r="196" spans="54:115"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 s="57"/>
    </row>
    <row r="197" spans="54:115"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 s="57"/>
    </row>
    <row r="198" spans="54:115"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 s="57"/>
    </row>
    <row r="199" spans="54:115"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 s="57"/>
    </row>
    <row r="200" spans="54:115"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 s="57"/>
    </row>
    <row r="201" spans="54:115"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 s="57"/>
    </row>
    <row r="202" spans="54:115"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 s="57"/>
    </row>
    <row r="203" spans="54:115"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 s="57"/>
    </row>
    <row r="204" spans="54:115"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 s="57"/>
    </row>
    <row r="205" spans="54:115"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 s="57"/>
    </row>
    <row r="206" spans="54:115"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 s="57"/>
    </row>
    <row r="207" spans="54:115"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 s="57"/>
    </row>
    <row r="208" spans="54:115"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 s="57"/>
    </row>
    <row r="209" spans="54:115"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 s="57"/>
    </row>
    <row r="210" spans="54:115"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 s="57"/>
    </row>
    <row r="211" spans="54:115"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 s="57"/>
    </row>
    <row r="212" spans="54:115"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 s="57"/>
    </row>
    <row r="213" spans="54:115"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 s="57"/>
    </row>
    <row r="214" spans="54:115"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 s="57"/>
    </row>
    <row r="215" spans="54:115"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 s="57"/>
    </row>
    <row r="216" spans="54:115"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 s="57"/>
    </row>
    <row r="217" spans="54:115"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 s="57"/>
    </row>
    <row r="218" spans="54:115"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 s="57"/>
    </row>
    <row r="219" spans="54:115"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 s="57"/>
    </row>
    <row r="220" spans="54:115"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 s="57"/>
    </row>
    <row r="221" spans="54:115"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 s="57"/>
    </row>
    <row r="222" spans="54:115"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 s="57"/>
    </row>
    <row r="223" spans="54:115"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 s="57"/>
    </row>
    <row r="224" spans="54:115"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 s="57"/>
    </row>
    <row r="225" spans="54:115"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 s="57"/>
    </row>
    <row r="226" spans="54:115"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 s="57"/>
    </row>
    <row r="227" spans="54:115"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 s="57"/>
    </row>
    <row r="228" spans="54:115"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 s="57"/>
    </row>
    <row r="229" spans="54:115"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 s="57"/>
    </row>
    <row r="230" spans="54:115"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 s="57"/>
    </row>
    <row r="231" spans="54:115"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 s="57"/>
    </row>
    <row r="232" spans="54:115"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 s="57"/>
    </row>
    <row r="233" spans="54:115"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 s="57"/>
    </row>
    <row r="234" spans="54:115"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 s="57"/>
    </row>
    <row r="235" spans="54:115"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 s="57"/>
    </row>
    <row r="236" spans="54:115"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 s="57"/>
    </row>
    <row r="237" spans="54:115"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 s="57"/>
    </row>
    <row r="238" spans="54:115"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 s="57"/>
    </row>
    <row r="239" spans="54:115"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 s="57"/>
    </row>
    <row r="240" spans="54:115"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 s="57"/>
    </row>
    <row r="241" spans="54:129"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 s="58"/>
      <c r="DL241" s="54"/>
      <c r="DM241" s="54"/>
      <c r="DN241" s="54"/>
      <c r="DO241" s="54"/>
      <c r="DP241" s="54"/>
      <c r="DQ241" s="54"/>
      <c r="DR241" s="54"/>
      <c r="DS241" s="54"/>
      <c r="DT241" s="54"/>
      <c r="DU241" s="54"/>
      <c r="DV241" s="54"/>
      <c r="DW241" s="54"/>
      <c r="DX241" s="54"/>
    </row>
    <row r="242" spans="54:129"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 s="57"/>
    </row>
    <row r="243" spans="54:129"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 s="57"/>
    </row>
    <row r="244" spans="54:129"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 s="57"/>
    </row>
    <row r="245" spans="54:129"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 s="57"/>
    </row>
    <row r="246" spans="54:129"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 s="57"/>
    </row>
    <row r="247" spans="54:129"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 s="57"/>
    </row>
    <row r="248" spans="54:129"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 s="57"/>
    </row>
    <row r="249" spans="54:129"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 s="57"/>
    </row>
    <row r="250" spans="54:129"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 s="57"/>
    </row>
    <row r="251" spans="54:129"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 s="57"/>
    </row>
    <row r="252" spans="54:129"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 s="57"/>
    </row>
    <row r="253" spans="54:129"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 s="57"/>
    </row>
    <row r="254" spans="54:129"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 s="57"/>
    </row>
    <row r="255" spans="54:129"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 s="57"/>
    </row>
    <row r="256" spans="54:129"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 s="57"/>
    </row>
    <row r="257" spans="54:129"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 s="57"/>
    </row>
    <row r="258" spans="54:129"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 s="57"/>
    </row>
    <row r="259" spans="54:129"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 s="57"/>
    </row>
    <row r="260" spans="54:129"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 s="57"/>
    </row>
    <row r="261" spans="54:129"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 s="57"/>
    </row>
    <row r="262" spans="54:129"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 s="57"/>
    </row>
    <row r="263" spans="54:129"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 s="57"/>
    </row>
    <row r="264" spans="54:129"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 s="57"/>
    </row>
    <row r="265" spans="54:129"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 s="57"/>
    </row>
    <row r="266" spans="54:129"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 s="57"/>
    </row>
    <row r="267" spans="54:129"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 s="57"/>
    </row>
    <row r="268" spans="54:129"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 s="57"/>
    </row>
    <row r="269" spans="54:129"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 s="57"/>
    </row>
    <row r="270" spans="54:129"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 s="57"/>
    </row>
    <row r="271" spans="54:129"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 s="57"/>
    </row>
    <row r="272" spans="54:129"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 s="57"/>
    </row>
    <row r="273" spans="54:129"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 s="57"/>
    </row>
    <row r="274" spans="54:129"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 s="57"/>
    </row>
    <row r="275" spans="54:129"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 s="57"/>
    </row>
    <row r="276" spans="54:129"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 s="57"/>
    </row>
    <row r="277" spans="54:129"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 s="57"/>
    </row>
    <row r="278" spans="54:129"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 s="57"/>
    </row>
    <row r="279" spans="54:129"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 s="57"/>
    </row>
    <row r="280" spans="54:129"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 s="57"/>
    </row>
    <row r="281" spans="54:129"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 s="57"/>
    </row>
    <row r="282" spans="54:129"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 s="57"/>
    </row>
    <row r="283" spans="54:129"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 s="57"/>
    </row>
    <row r="284" spans="54:129"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 s="57"/>
    </row>
    <row r="285" spans="54:129"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 s="57"/>
    </row>
    <row r="286" spans="54:129"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 s="57"/>
    </row>
    <row r="287" spans="54:129"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 s="57"/>
    </row>
    <row r="288" spans="54:129"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 s="57"/>
    </row>
    <row r="289" spans="54:129"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 s="57"/>
    </row>
    <row r="290" spans="54:129"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 s="57"/>
    </row>
    <row r="291" spans="54:129"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 s="57"/>
    </row>
    <row r="292" spans="54:129"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 s="57"/>
    </row>
    <row r="293" spans="54:129"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 s="57"/>
    </row>
    <row r="294" spans="54:129"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 s="57"/>
    </row>
    <row r="295" spans="54:129"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 s="57"/>
    </row>
    <row r="296" spans="54:129"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 s="57"/>
    </row>
    <row r="297" spans="54:129"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 s="57"/>
    </row>
    <row r="298" spans="54:129"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 s="57"/>
    </row>
    <row r="299" spans="54:129"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 s="57"/>
    </row>
    <row r="300" spans="54:129"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 s="57"/>
    </row>
    <row r="301" spans="54:129"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 s="57"/>
    </row>
    <row r="302" spans="54:129"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 s="57"/>
    </row>
    <row r="303" spans="54:129"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 s="57"/>
    </row>
    <row r="304" spans="54:129"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 s="57"/>
    </row>
    <row r="305" spans="54:129"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 s="57"/>
    </row>
    <row r="306" spans="54:129"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 s="57"/>
    </row>
    <row r="307" spans="54:129"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 s="57"/>
    </row>
    <row r="308" spans="54:129"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 s="57"/>
    </row>
    <row r="309" spans="54:129"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 s="57"/>
    </row>
    <row r="310" spans="54:129"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 s="57"/>
    </row>
    <row r="311" spans="54:129"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 s="57"/>
    </row>
    <row r="312" spans="54:129"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 s="57"/>
    </row>
    <row r="313" spans="54:129"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 s="57"/>
    </row>
    <row r="314" spans="54:129"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 s="57"/>
    </row>
    <row r="315" spans="54:129"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 s="57"/>
    </row>
    <row r="316" spans="54:129"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 s="57"/>
    </row>
    <row r="317" spans="54:129"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 s="57"/>
    </row>
    <row r="318" spans="54:129"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 s="57"/>
    </row>
    <row r="319" spans="54:129"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 s="57"/>
    </row>
    <row r="320" spans="54:129"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 s="57"/>
    </row>
    <row r="321" spans="54:129"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 s="57"/>
    </row>
    <row r="322" spans="54:129"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 s="57"/>
    </row>
    <row r="323" spans="54:129"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 s="57"/>
    </row>
    <row r="324" spans="54:129"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 s="57"/>
    </row>
    <row r="325" spans="54:129"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 s="57"/>
    </row>
    <row r="326" spans="54:129"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 s="57"/>
    </row>
    <row r="327" spans="54:129"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 s="57"/>
    </row>
    <row r="328" spans="54:129"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 s="57"/>
    </row>
    <row r="329" spans="54:129"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 s="57"/>
    </row>
    <row r="330" spans="54:129"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 s="57"/>
    </row>
    <row r="331" spans="54:129"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 s="57"/>
    </row>
    <row r="332" spans="54:129"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 s="57"/>
    </row>
    <row r="333" spans="54:129"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 s="57"/>
    </row>
    <row r="334" spans="54:129"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 s="57"/>
    </row>
    <row r="335" spans="54:129"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 s="57"/>
    </row>
    <row r="336" spans="54:129"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 s="57"/>
    </row>
    <row r="337" spans="54:129"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 s="57"/>
    </row>
    <row r="338" spans="54:129"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 s="57"/>
    </row>
    <row r="339" spans="54:129"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 s="57"/>
    </row>
    <row r="340" spans="54:129"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 s="57"/>
    </row>
    <row r="341" spans="54:129"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 s="57"/>
    </row>
    <row r="342" spans="54:129"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 s="57"/>
    </row>
    <row r="343" spans="54:129"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 s="57"/>
    </row>
    <row r="344" spans="54:129"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 s="57"/>
    </row>
    <row r="345" spans="54:129"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 s="57"/>
    </row>
    <row r="346" spans="54:129"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 s="57"/>
    </row>
    <row r="347" spans="54:129"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 s="57"/>
    </row>
    <row r="348" spans="54:129"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 s="57"/>
    </row>
    <row r="349" spans="54:129"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 s="57"/>
    </row>
    <row r="350" spans="54:129"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 s="57"/>
    </row>
    <row r="351" spans="54:129"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 s="57"/>
    </row>
    <row r="352" spans="54:129"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 s="57"/>
    </row>
    <row r="353" spans="54:129"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 s="57"/>
    </row>
    <row r="354" spans="54:129"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 s="57"/>
    </row>
    <row r="355" spans="54:129"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 s="57"/>
    </row>
    <row r="356" spans="54:129"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 s="57"/>
    </row>
    <row r="357" spans="54:129"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 s="57"/>
    </row>
    <row r="358" spans="54:129"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 s="57"/>
    </row>
    <row r="359" spans="54:129"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 s="57"/>
    </row>
    <row r="360" spans="54:129"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 s="57"/>
    </row>
    <row r="361" spans="54:129"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 s="57"/>
    </row>
    <row r="362" spans="54:129"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 s="57"/>
    </row>
    <row r="363" spans="54:129"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 s="57"/>
    </row>
    <row r="364" spans="54:129"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 s="57"/>
    </row>
    <row r="365" spans="54:129"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 s="57"/>
    </row>
    <row r="366" spans="54:129"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 s="57"/>
    </row>
    <row r="367" spans="54:129"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 s="57"/>
    </row>
    <row r="368" spans="54:129"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 s="57"/>
    </row>
    <row r="369" spans="54:129"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 s="57"/>
    </row>
    <row r="370" spans="54:129"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 s="57"/>
    </row>
    <row r="371" spans="54:129"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 s="57"/>
    </row>
    <row r="372" spans="54:129"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 s="57"/>
    </row>
    <row r="373" spans="54:129"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 s="57"/>
    </row>
    <row r="374" spans="54:129"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 s="57"/>
    </row>
    <row r="375" spans="54:129"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 s="57"/>
    </row>
    <row r="376" spans="54:129"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 s="57"/>
    </row>
    <row r="377" spans="54:129"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 s="57"/>
    </row>
    <row r="378" spans="54:129"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 s="57"/>
    </row>
    <row r="379" spans="54:129"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 s="57"/>
    </row>
    <row r="380" spans="54:129"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 s="57"/>
    </row>
    <row r="381" spans="54:129"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 s="57"/>
    </row>
    <row r="382" spans="54:129"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 s="57"/>
    </row>
    <row r="383" spans="54:129"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 s="57"/>
    </row>
    <row r="384" spans="54:129"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 s="57"/>
    </row>
    <row r="385" spans="54:129"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 s="57"/>
    </row>
    <row r="386" spans="54:129"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 s="57"/>
    </row>
    <row r="387" spans="54:129"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 s="57"/>
    </row>
    <row r="388" spans="54:129"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 s="57"/>
    </row>
    <row r="389" spans="54:129"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 s="57"/>
    </row>
    <row r="390" spans="54:129"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 s="57"/>
    </row>
    <row r="391" spans="54:129"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 s="57"/>
    </row>
    <row r="392" spans="54:129"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 s="57"/>
    </row>
    <row r="393" spans="54:129"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 s="57"/>
    </row>
    <row r="394" spans="54:129"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 s="57"/>
    </row>
    <row r="395" spans="54:129"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 s="57"/>
    </row>
    <row r="396" spans="54:129"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 s="57"/>
    </row>
    <row r="397" spans="54:129"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 s="57"/>
    </row>
    <row r="398" spans="54:129"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 s="57"/>
    </row>
    <row r="399" spans="54:129"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 s="57"/>
    </row>
    <row r="400" spans="54:129"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 s="57"/>
    </row>
    <row r="401" spans="54:129"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 s="57"/>
    </row>
    <row r="402" spans="54:129"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 s="57"/>
    </row>
    <row r="403" spans="54:129"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 s="57"/>
    </row>
    <row r="404" spans="54:129"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 s="57"/>
    </row>
    <row r="405" spans="54:129"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 s="57"/>
    </row>
    <row r="406" spans="54:129"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 s="57"/>
    </row>
    <row r="407" spans="54:129"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 s="57"/>
    </row>
    <row r="408" spans="54:129"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 s="57"/>
    </row>
    <row r="409" spans="54:129"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 s="57"/>
    </row>
    <row r="410" spans="54:129"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 s="57"/>
    </row>
    <row r="411" spans="54:129"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 s="57"/>
    </row>
    <row r="412" spans="54:129"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 s="57"/>
    </row>
    <row r="413" spans="54:129"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 s="57"/>
    </row>
    <row r="414" spans="54:129"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 s="57"/>
    </row>
    <row r="415" spans="54:129"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 s="57"/>
    </row>
    <row r="416" spans="54:129"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 s="57"/>
    </row>
    <row r="417" spans="54:129"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 s="57"/>
    </row>
    <row r="418" spans="54:129"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 s="57"/>
    </row>
    <row r="419" spans="54:129"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 s="57"/>
    </row>
    <row r="420" spans="54:129"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 s="57"/>
    </row>
    <row r="421" spans="54:129"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 s="57"/>
    </row>
    <row r="422" spans="54:129"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 s="57"/>
    </row>
    <row r="423" spans="54:129"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 s="57"/>
    </row>
    <row r="424" spans="54:129"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 s="57"/>
    </row>
    <row r="425" spans="54:129"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 s="57"/>
    </row>
    <row r="426" spans="54:129"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 s="57"/>
    </row>
    <row r="427" spans="54:129"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 s="57"/>
    </row>
    <row r="428" spans="54:129"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 s="57"/>
    </row>
    <row r="429" spans="54:129"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 s="57"/>
    </row>
    <row r="430" spans="54:129"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 s="57"/>
    </row>
    <row r="431" spans="54:129"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 s="57"/>
    </row>
    <row r="432" spans="54:129"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 s="57"/>
    </row>
    <row r="433" spans="54:129"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 s="57"/>
    </row>
    <row r="434" spans="54:129"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 s="57"/>
    </row>
    <row r="435" spans="54:129"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 s="57"/>
    </row>
    <row r="436" spans="54:129"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 s="57"/>
    </row>
    <row r="437" spans="54:129"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 s="57"/>
    </row>
    <row r="438" spans="54:129"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 s="57"/>
    </row>
    <row r="439" spans="54:129"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 s="57"/>
    </row>
    <row r="440" spans="54:129"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 s="57"/>
    </row>
    <row r="441" spans="54:129"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 s="57"/>
    </row>
    <row r="442" spans="54:129"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 s="57"/>
    </row>
    <row r="443" spans="54:129"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 s="57"/>
    </row>
    <row r="444" spans="54:129"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 s="57"/>
    </row>
    <row r="445" spans="54:129"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 s="57"/>
    </row>
    <row r="446" spans="54:129"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 s="57"/>
    </row>
    <row r="447" spans="54:129"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 s="57"/>
    </row>
    <row r="448" spans="54:129"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 s="57"/>
    </row>
    <row r="449" spans="54:129"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 s="57"/>
    </row>
    <row r="450" spans="54:129"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 s="57"/>
    </row>
    <row r="451" spans="54:129"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 s="57"/>
    </row>
    <row r="452" spans="54:129"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 s="57"/>
    </row>
    <row r="453" spans="54:129"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 s="57"/>
    </row>
    <row r="454" spans="54:129"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 s="57"/>
    </row>
    <row r="455" spans="54:129"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 s="57"/>
    </row>
    <row r="456" spans="54:129"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 s="57"/>
    </row>
    <row r="457" spans="54:129"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 s="57"/>
    </row>
    <row r="458" spans="54:129"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 s="57"/>
    </row>
    <row r="459" spans="54:129"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 s="57"/>
    </row>
    <row r="460" spans="54:129"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 s="57"/>
    </row>
    <row r="461" spans="54:129"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 s="57"/>
    </row>
    <row r="462" spans="54:129"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 s="57"/>
    </row>
    <row r="463" spans="54:129"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 s="57"/>
    </row>
    <row r="464" spans="54:129"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 s="57"/>
    </row>
    <row r="465" spans="54:129"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 s="57"/>
    </row>
    <row r="466" spans="54:129"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 s="57"/>
    </row>
    <row r="467" spans="54:129"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 s="57"/>
    </row>
    <row r="468" spans="54:129"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 s="57"/>
    </row>
    <row r="469" spans="54:129"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 s="57"/>
    </row>
    <row r="470" spans="54:129"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 s="57"/>
    </row>
    <row r="471" spans="54:129"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 s="57"/>
    </row>
    <row r="472" spans="54:129"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 s="57"/>
    </row>
    <row r="473" spans="54:129"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 s="57"/>
    </row>
    <row r="474" spans="54:129"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 s="57"/>
    </row>
    <row r="475" spans="54:129"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 s="57"/>
    </row>
    <row r="476" spans="54:129"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 s="57"/>
    </row>
    <row r="477" spans="54:129"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 s="57"/>
    </row>
    <row r="478" spans="54:129"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 s="57"/>
    </row>
    <row r="479" spans="54:129"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 s="57"/>
    </row>
    <row r="480" spans="54:129"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 s="57"/>
    </row>
    <row r="481" spans="54:129"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 s="57"/>
    </row>
    <row r="482" spans="54:129"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 s="57"/>
    </row>
    <row r="483" spans="54:129"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 s="57"/>
    </row>
    <row r="484" spans="54:129"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 s="57"/>
    </row>
    <row r="485" spans="54:129"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 s="57"/>
    </row>
    <row r="486" spans="54:129"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 s="57"/>
    </row>
    <row r="487" spans="54:129"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 s="57"/>
    </row>
    <row r="488" spans="54:129"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 s="57"/>
    </row>
    <row r="489" spans="54:129"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 s="57"/>
    </row>
    <row r="490" spans="54:129"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 s="57"/>
    </row>
    <row r="491" spans="54:129"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 s="57"/>
    </row>
    <row r="492" spans="54:129"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 s="57"/>
    </row>
    <row r="493" spans="54:129"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 s="57"/>
    </row>
    <row r="494" spans="54:129"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 s="57"/>
    </row>
    <row r="495" spans="54:129"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 s="57"/>
    </row>
    <row r="496" spans="54:129"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 s="57"/>
    </row>
    <row r="497" spans="54:129"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 s="57"/>
    </row>
    <row r="498" spans="54:129"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 s="57"/>
    </row>
    <row r="499" spans="54:129"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 s="57"/>
    </row>
    <row r="500" spans="54:129"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 s="57"/>
    </row>
    <row r="501" spans="54:129"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 s="57"/>
    </row>
    <row r="502" spans="54:129"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 s="57"/>
    </row>
    <row r="503" spans="54:129"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 s="57"/>
    </row>
    <row r="504" spans="54:129"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 s="57"/>
    </row>
    <row r="505" spans="54:129"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 s="57"/>
    </row>
    <row r="506" spans="54:129"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 s="57"/>
    </row>
    <row r="507" spans="54:129"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 s="57"/>
    </row>
    <row r="508" spans="54:129"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 s="57"/>
    </row>
    <row r="509" spans="54:129"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 s="57"/>
    </row>
    <row r="510" spans="54:129"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 s="57"/>
    </row>
    <row r="511" spans="54:129"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 s="57"/>
    </row>
    <row r="512" spans="54:129"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 s="57"/>
    </row>
    <row r="513" spans="54:129"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 s="57"/>
    </row>
    <row r="514" spans="54:129"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 s="57"/>
    </row>
    <row r="515" spans="54:129"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 s="57"/>
    </row>
    <row r="516" spans="54:129"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 s="57"/>
    </row>
    <row r="517" spans="54:129"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 s="57"/>
    </row>
    <row r="518" spans="54:129"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 s="57"/>
    </row>
    <row r="519" spans="54:129"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 s="57"/>
    </row>
    <row r="520" spans="54:129"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 s="57"/>
    </row>
    <row r="521" spans="54:129"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 s="57"/>
    </row>
    <row r="522" spans="54:129"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 s="57"/>
    </row>
    <row r="523" spans="54:129"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 s="57"/>
    </row>
    <row r="524" spans="54:129"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 s="57"/>
    </row>
    <row r="525" spans="54:129"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 s="57"/>
    </row>
    <row r="526" spans="54:129"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 s="57"/>
    </row>
    <row r="527" spans="54:129"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 s="57"/>
    </row>
    <row r="528" spans="54:129"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 s="57"/>
    </row>
    <row r="529" spans="54:129"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 s="57"/>
    </row>
    <row r="530" spans="54:129"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 s="57"/>
    </row>
    <row r="531" spans="54:129"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 s="57"/>
    </row>
    <row r="532" spans="54:129"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 s="57"/>
    </row>
    <row r="533" spans="54:129"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 s="57"/>
    </row>
    <row r="534" spans="54:129"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 s="57"/>
    </row>
    <row r="535" spans="54:129"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 s="57"/>
    </row>
    <row r="536" spans="54:129"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 s="57"/>
    </row>
    <row r="537" spans="54:129"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 s="57"/>
    </row>
    <row r="538" spans="54:129"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 s="57"/>
    </row>
    <row r="539" spans="54:129"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 s="57"/>
    </row>
    <row r="540" spans="54:129"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 s="57"/>
    </row>
    <row r="541" spans="54:129"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 s="57"/>
    </row>
    <row r="542" spans="54:129"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 s="57"/>
    </row>
    <row r="543" spans="54:129"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 s="57"/>
    </row>
    <row r="544" spans="54:129"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 s="57"/>
    </row>
    <row r="545" spans="54:129"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 s="57"/>
    </row>
    <row r="546" spans="54:129"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 s="57"/>
    </row>
    <row r="547" spans="54:129"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 s="57"/>
    </row>
    <row r="548" spans="54:129"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 s="57"/>
    </row>
    <row r="549" spans="54:129"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 s="57"/>
    </row>
    <row r="550" spans="54:129"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 s="57"/>
    </row>
    <row r="551" spans="54:129"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 s="57"/>
    </row>
    <row r="552" spans="54:129"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 s="57"/>
    </row>
    <row r="553" spans="54:129"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 s="57"/>
    </row>
    <row r="554" spans="54:129"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 s="57"/>
    </row>
    <row r="555" spans="54:129"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 s="57"/>
    </row>
    <row r="556" spans="54:129"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 s="57"/>
    </row>
    <row r="557" spans="54:129"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 s="57"/>
    </row>
    <row r="558" spans="54:129"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 s="57"/>
    </row>
    <row r="559" spans="54:129"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 s="57"/>
    </row>
    <row r="560" spans="54:129"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 s="57"/>
    </row>
    <row r="561" spans="54:129"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 s="57"/>
    </row>
    <row r="562" spans="54:129"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 s="57"/>
    </row>
    <row r="563" spans="54:129"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 s="57"/>
    </row>
    <row r="564" spans="54:129"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 s="57"/>
    </row>
    <row r="565" spans="54:129"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 s="57"/>
    </row>
    <row r="566" spans="54:129"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 s="57"/>
    </row>
    <row r="567" spans="54:129"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 s="57"/>
    </row>
    <row r="568" spans="54:129"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 s="57"/>
    </row>
    <row r="569" spans="54:129"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 s="57"/>
    </row>
    <row r="570" spans="54:129"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 s="57"/>
    </row>
    <row r="571" spans="54:129"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 s="57"/>
    </row>
    <row r="572" spans="54:129"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 s="57"/>
    </row>
    <row r="573" spans="54:129"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 s="57"/>
    </row>
    <row r="574" spans="54:129"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 s="57"/>
    </row>
    <row r="575" spans="54:129"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 s="57"/>
    </row>
    <row r="576" spans="54:129"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 s="57"/>
    </row>
    <row r="577" spans="54:129"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 s="57"/>
    </row>
    <row r="578" spans="54:129"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 s="57"/>
    </row>
    <row r="579" spans="54:129"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 s="57"/>
    </row>
    <row r="580" spans="54:129"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 s="57"/>
    </row>
    <row r="581" spans="54:129"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 s="57"/>
    </row>
    <row r="582" spans="54:129"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 s="57"/>
    </row>
    <row r="583" spans="54:129"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 s="57"/>
    </row>
    <row r="584" spans="54:129"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 s="57"/>
    </row>
    <row r="585" spans="54:129"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 s="57"/>
    </row>
    <row r="586" spans="54:129"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 s="57"/>
    </row>
    <row r="587" spans="54:129"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 s="57"/>
    </row>
    <row r="588" spans="54:129"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 s="57"/>
    </row>
    <row r="589" spans="54:129"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 s="57"/>
    </row>
    <row r="590" spans="54:129"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 s="57"/>
    </row>
    <row r="591" spans="54:129"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 s="57"/>
    </row>
    <row r="592" spans="54:129"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 s="57"/>
    </row>
    <row r="593" spans="54:129"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 s="57"/>
    </row>
    <row r="594" spans="54:129"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 s="57"/>
    </row>
    <row r="595" spans="54:129"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 s="57"/>
    </row>
    <row r="596" spans="54:129"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 s="57"/>
    </row>
    <row r="597" spans="54:129"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 s="57"/>
    </row>
    <row r="598" spans="54:129"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 s="57"/>
    </row>
    <row r="599" spans="54:129"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 s="57"/>
    </row>
    <row r="600" spans="54:129"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 s="57"/>
    </row>
    <row r="601" spans="54:129"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 s="57"/>
    </row>
    <row r="602" spans="54:129"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 s="57"/>
    </row>
    <row r="603" spans="54:129"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 s="57"/>
    </row>
    <row r="604" spans="54:129"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 s="57"/>
    </row>
    <row r="605" spans="54:129"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 s="57"/>
    </row>
    <row r="606" spans="54:129"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 s="57"/>
    </row>
    <row r="607" spans="54:129"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 s="57"/>
    </row>
    <row r="608" spans="54:129"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 s="57"/>
    </row>
    <row r="609" spans="54:129"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 s="57"/>
    </row>
    <row r="610" spans="54:129"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 s="57"/>
    </row>
    <row r="611" spans="54:129"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 s="57"/>
    </row>
    <row r="612" spans="54:129"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 s="57"/>
    </row>
    <row r="613" spans="54:129"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 s="57"/>
    </row>
    <row r="614" spans="54:129"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 s="57"/>
    </row>
    <row r="615" spans="54:129"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 s="57"/>
    </row>
    <row r="616" spans="54:129"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 s="57"/>
    </row>
    <row r="617" spans="54:129"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 s="57"/>
    </row>
    <row r="618" spans="54:129"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 s="57"/>
    </row>
    <row r="619" spans="54:129"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 s="57"/>
    </row>
    <row r="620" spans="54:129"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 s="57"/>
    </row>
    <row r="621" spans="54:129"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 s="57"/>
    </row>
    <row r="622" spans="54:129"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 s="57"/>
    </row>
    <row r="623" spans="54:129"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 s="57"/>
    </row>
    <row r="624" spans="54:129"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 s="57"/>
    </row>
    <row r="625" spans="54:129"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 s="57"/>
    </row>
    <row r="626" spans="54:129"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 s="57"/>
    </row>
    <row r="627" spans="54:129"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 s="57"/>
    </row>
    <row r="628" spans="54:129"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 s="57"/>
    </row>
    <row r="629" spans="54:129"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 s="57"/>
    </row>
    <row r="630" spans="54:129"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 s="57"/>
    </row>
    <row r="631" spans="54:129"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 s="57"/>
    </row>
    <row r="632" spans="54:129"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 s="57"/>
    </row>
    <row r="633" spans="54:129"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 s="57"/>
    </row>
    <row r="634" spans="54:129"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 s="57"/>
    </row>
    <row r="635" spans="54:129"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 s="57"/>
    </row>
    <row r="636" spans="54:129"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 s="57"/>
    </row>
    <row r="637" spans="54:129"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 s="57"/>
    </row>
    <row r="638" spans="54:129"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 s="57"/>
    </row>
    <row r="639" spans="54:129"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 s="57"/>
    </row>
    <row r="640" spans="54:129"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 s="57"/>
    </row>
    <row r="641" spans="54:129"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 s="57"/>
    </row>
    <row r="642" spans="54:129"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 s="57"/>
    </row>
    <row r="643" spans="54:129"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 s="57"/>
    </row>
    <row r="644" spans="54:129"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 s="57"/>
    </row>
    <row r="645" spans="54:129"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 s="57"/>
    </row>
    <row r="646" spans="54:129"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 s="57"/>
    </row>
    <row r="647" spans="54:129"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 s="57"/>
    </row>
    <row r="648" spans="54:129"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 s="57"/>
    </row>
    <row r="649" spans="54:129"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 s="57"/>
    </row>
    <row r="650" spans="54:129"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 s="57"/>
    </row>
    <row r="651" spans="54:129"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 s="57"/>
    </row>
    <row r="652" spans="54:129"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 s="57"/>
    </row>
    <row r="653" spans="54:129"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 s="57"/>
    </row>
    <row r="654" spans="54:129"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 s="57"/>
    </row>
    <row r="655" spans="54:129"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 s="57"/>
    </row>
    <row r="656" spans="54:129"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 s="57"/>
    </row>
    <row r="657" spans="54:129"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 s="57"/>
    </row>
    <row r="658" spans="54:129"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 s="57"/>
    </row>
    <row r="659" spans="54:129"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 s="57"/>
    </row>
    <row r="660" spans="54:129"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 s="57"/>
    </row>
    <row r="661" spans="54:129"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 s="57"/>
    </row>
    <row r="662" spans="54:129"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 s="57"/>
    </row>
    <row r="663" spans="54:129"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 s="57"/>
    </row>
    <row r="664" spans="54:129"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 s="57"/>
    </row>
    <row r="665" spans="54:129"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 s="57"/>
    </row>
    <row r="666" spans="54:129"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 s="57"/>
    </row>
    <row r="667" spans="54:129"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 s="57"/>
    </row>
    <row r="668" spans="54:129"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 s="57"/>
    </row>
    <row r="669" spans="54:129"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 s="57"/>
    </row>
    <row r="670" spans="54:129"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 s="57"/>
    </row>
    <row r="671" spans="54:129"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 s="57"/>
    </row>
    <row r="672" spans="54:129"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 s="57"/>
    </row>
    <row r="673" spans="54:129"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 s="57"/>
    </row>
    <row r="674" spans="54:129"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 s="57"/>
    </row>
    <row r="675" spans="54:129"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 s="57"/>
    </row>
    <row r="676" spans="54:129"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 s="57"/>
    </row>
    <row r="677" spans="54:129"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 s="57"/>
    </row>
    <row r="678" spans="54:129"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 s="57"/>
    </row>
    <row r="679" spans="54:129"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 s="57"/>
    </row>
    <row r="680" spans="54:129"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 s="57"/>
    </row>
    <row r="681" spans="54:129"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 s="57"/>
    </row>
    <row r="682" spans="54:129"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 s="57"/>
    </row>
    <row r="683" spans="54:129"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 s="57"/>
    </row>
    <row r="684" spans="54:129"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 s="57"/>
    </row>
    <row r="685" spans="54:129"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 s="57"/>
    </row>
    <row r="686" spans="54:129"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 s="57"/>
    </row>
    <row r="687" spans="54:129"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 s="57"/>
    </row>
    <row r="688" spans="54:129"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 s="57"/>
    </row>
    <row r="689" spans="54:129"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 s="57"/>
    </row>
    <row r="690" spans="54:129"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 s="57"/>
    </row>
    <row r="691" spans="54:129"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 s="57"/>
    </row>
    <row r="692" spans="54:129"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 s="57"/>
    </row>
    <row r="693" spans="54:129"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 s="57"/>
    </row>
    <row r="694" spans="54:129"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 s="57"/>
    </row>
    <row r="695" spans="54:129"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 s="57"/>
    </row>
    <row r="696" spans="54:129"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 s="57"/>
    </row>
    <row r="697" spans="54:129"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 s="57"/>
    </row>
    <row r="698" spans="54:129"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 s="57"/>
    </row>
    <row r="699" spans="54:129"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 s="57"/>
    </row>
    <row r="700" spans="54:129"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 s="57"/>
    </row>
    <row r="701" spans="54:129"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 s="57"/>
    </row>
    <row r="702" spans="54:129"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 s="57"/>
    </row>
    <row r="703" spans="54:129"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 s="57"/>
    </row>
    <row r="704" spans="54:129"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 s="57"/>
    </row>
    <row r="705" spans="54:129"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 s="57"/>
    </row>
    <row r="706" spans="54:129"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 s="57"/>
    </row>
    <row r="707" spans="54:129"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 s="57"/>
    </row>
    <row r="708" spans="54:129"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 s="57"/>
    </row>
    <row r="709" spans="54:129"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 s="57"/>
    </row>
    <row r="710" spans="54:129"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 s="57"/>
    </row>
    <row r="711" spans="54:129"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 s="57"/>
    </row>
    <row r="712" spans="54:129"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 s="57"/>
    </row>
    <row r="713" spans="54:129"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 s="57"/>
    </row>
    <row r="714" spans="54:129"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 s="57"/>
    </row>
    <row r="715" spans="54:129"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 s="57"/>
    </row>
    <row r="716" spans="54:129"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 s="57"/>
    </row>
    <row r="717" spans="54:129"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 s="57"/>
    </row>
    <row r="718" spans="54:129"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 s="57"/>
    </row>
    <row r="719" spans="54:129"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 s="57"/>
    </row>
    <row r="720" spans="54:129"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 s="57"/>
    </row>
    <row r="721" spans="54:129"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 s="57"/>
    </row>
    <row r="722" spans="54:129"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 s="57"/>
    </row>
    <row r="723" spans="54:129"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 s="57"/>
    </row>
    <row r="724" spans="54:129"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 s="57"/>
    </row>
    <row r="725" spans="54:129"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 s="57"/>
    </row>
    <row r="726" spans="54:129"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 s="57"/>
    </row>
    <row r="727" spans="54:129"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 s="57"/>
    </row>
  </sheetData>
  <mergeCells count="17">
    <mergeCell ref="AB15:AM15"/>
    <mergeCell ref="S2:V2"/>
    <mergeCell ref="W2:Z2"/>
    <mergeCell ref="AA2:AD2"/>
    <mergeCell ref="AE2:AH2"/>
    <mergeCell ref="AB14:AM14"/>
    <mergeCell ref="P14:AA14"/>
    <mergeCell ref="AI2:AL2"/>
    <mergeCell ref="AM2:AP2"/>
    <mergeCell ref="AT2:AW2"/>
    <mergeCell ref="AX2:BA2"/>
    <mergeCell ref="AQ2:AS2"/>
    <mergeCell ref="A1:A4"/>
    <mergeCell ref="B2:E2"/>
    <mergeCell ref="F2:J2"/>
    <mergeCell ref="K2:N2"/>
    <mergeCell ref="O2:R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7EA7-9E7E-4DA5-995E-D2888258FAC7}">
  <dimension ref="A2:AE16"/>
  <sheetViews>
    <sheetView zoomScale="55" zoomScaleNormal="55" workbookViewId="0">
      <selection activeCell="N14" sqref="N14:O14"/>
    </sheetView>
  </sheetViews>
  <sheetFormatPr defaultColWidth="8.85546875" defaultRowHeight="14.45"/>
  <cols>
    <col min="1" max="1" width="15.85546875" bestFit="1" customWidth="1"/>
    <col min="2" max="7" width="9.5703125" hidden="1" customWidth="1"/>
    <col min="8" max="19" width="9.5703125" bestFit="1" customWidth="1"/>
    <col min="20" max="20" width="10.85546875" bestFit="1" customWidth="1"/>
    <col min="21" max="29" width="9.5703125" bestFit="1" customWidth="1"/>
  </cols>
  <sheetData>
    <row r="2" spans="1:31">
      <c r="A2" s="158" t="s">
        <v>103</v>
      </c>
      <c r="B2" s="159">
        <v>46024</v>
      </c>
      <c r="C2" s="159">
        <v>46049</v>
      </c>
      <c r="D2" s="159">
        <v>46050</v>
      </c>
      <c r="E2" s="159">
        <v>46070</v>
      </c>
      <c r="F2" s="159">
        <v>46071</v>
      </c>
      <c r="G2" s="159">
        <v>46098</v>
      </c>
      <c r="H2" s="159">
        <v>46099</v>
      </c>
      <c r="I2" s="159">
        <v>46119</v>
      </c>
      <c r="J2" s="159">
        <v>46120</v>
      </c>
      <c r="K2" s="159">
        <v>46140</v>
      </c>
      <c r="L2" s="159">
        <v>46141</v>
      </c>
      <c r="M2" s="159">
        <v>46168</v>
      </c>
      <c r="N2" s="159">
        <v>46169</v>
      </c>
      <c r="O2" s="159">
        <v>46196</v>
      </c>
      <c r="P2" s="159">
        <v>46197</v>
      </c>
      <c r="Q2" s="159">
        <v>46217</v>
      </c>
      <c r="R2" s="159">
        <v>46218</v>
      </c>
      <c r="S2" s="159">
        <v>46238</v>
      </c>
      <c r="T2" s="159">
        <v>46239</v>
      </c>
      <c r="U2" s="159">
        <v>46266</v>
      </c>
      <c r="V2" s="159">
        <v>46267</v>
      </c>
      <c r="W2" s="159">
        <v>46287</v>
      </c>
      <c r="X2" s="159">
        <v>46288</v>
      </c>
      <c r="Y2" s="159">
        <v>46315</v>
      </c>
      <c r="Z2" s="159">
        <v>46316</v>
      </c>
      <c r="AA2" s="159">
        <v>46343</v>
      </c>
      <c r="AB2" s="159">
        <v>46344</v>
      </c>
      <c r="AC2" s="159">
        <v>46388</v>
      </c>
      <c r="AD2" s="159"/>
      <c r="AE2" s="159"/>
    </row>
    <row r="3" spans="1:31" ht="24" thickBot="1">
      <c r="A3" s="160" t="s">
        <v>104</v>
      </c>
      <c r="B3" s="260" t="s">
        <v>31</v>
      </c>
      <c r="C3" s="260"/>
      <c r="D3" s="260" t="s">
        <v>32</v>
      </c>
      <c r="E3" s="260"/>
      <c r="F3" s="260" t="s">
        <v>33</v>
      </c>
      <c r="G3" s="260"/>
      <c r="H3" s="260" t="s">
        <v>34</v>
      </c>
      <c r="I3" s="260"/>
      <c r="J3" s="260" t="s">
        <v>35</v>
      </c>
      <c r="K3" s="260"/>
      <c r="L3" s="264" t="s">
        <v>36</v>
      </c>
      <c r="M3" s="260"/>
      <c r="N3" s="260" t="s">
        <v>37</v>
      </c>
      <c r="O3" s="260"/>
      <c r="P3" s="264" t="s">
        <v>38</v>
      </c>
      <c r="Q3" s="260"/>
      <c r="R3" s="260" t="s">
        <v>39</v>
      </c>
      <c r="S3" s="260"/>
      <c r="T3" s="264" t="s">
        <v>40</v>
      </c>
      <c r="U3" s="260"/>
      <c r="V3" s="260" t="s">
        <v>41</v>
      </c>
      <c r="W3" s="260"/>
      <c r="X3" s="260" t="s">
        <v>105</v>
      </c>
      <c r="Y3" s="260"/>
      <c r="Z3" s="260" t="s">
        <v>29</v>
      </c>
      <c r="AA3" s="260"/>
      <c r="AB3" s="260" t="s">
        <v>30</v>
      </c>
      <c r="AC3" s="260"/>
      <c r="AD3" s="260" t="s">
        <v>31</v>
      </c>
      <c r="AE3" s="260"/>
    </row>
    <row r="4" spans="1:31" ht="15" thickBot="1">
      <c r="A4" s="158" t="s">
        <v>106</v>
      </c>
      <c r="B4" s="161"/>
      <c r="C4" s="162"/>
      <c r="D4" s="163"/>
      <c r="E4" s="162"/>
      <c r="F4" s="163"/>
      <c r="G4" s="162"/>
      <c r="H4" s="164" t="s">
        <v>28</v>
      </c>
      <c r="I4" s="162"/>
      <c r="J4" s="162"/>
      <c r="K4" s="162"/>
      <c r="L4" s="164" t="s">
        <v>107</v>
      </c>
      <c r="M4" s="162"/>
      <c r="N4" s="163"/>
      <c r="O4" s="162"/>
      <c r="P4" s="164" t="s">
        <v>108</v>
      </c>
      <c r="Q4" s="162"/>
      <c r="R4" s="163"/>
      <c r="S4" s="162"/>
      <c r="T4" s="164" t="s">
        <v>109</v>
      </c>
      <c r="U4" s="162"/>
      <c r="V4" s="163"/>
      <c r="W4" s="162"/>
      <c r="X4" s="163"/>
      <c r="Y4" s="162"/>
      <c r="Z4" s="163"/>
      <c r="AA4" s="162"/>
      <c r="AB4" s="163"/>
      <c r="AC4" s="165"/>
      <c r="AD4" s="166"/>
      <c r="AE4" s="167"/>
    </row>
    <row r="5" spans="1:31" ht="15" thickBot="1">
      <c r="A5" s="168" t="s">
        <v>110</v>
      </c>
      <c r="B5" s="169"/>
      <c r="C5" s="170"/>
      <c r="D5" s="171"/>
      <c r="E5" s="170"/>
      <c r="F5" s="171"/>
      <c r="G5" s="170"/>
      <c r="H5" s="170"/>
      <c r="I5" s="170"/>
      <c r="J5" s="261" t="s">
        <v>111</v>
      </c>
      <c r="K5" s="262"/>
      <c r="L5" s="262"/>
      <c r="M5" s="263"/>
      <c r="N5" s="171"/>
      <c r="O5" s="171"/>
      <c r="P5" s="261" t="s">
        <v>112</v>
      </c>
      <c r="Q5" s="263"/>
      <c r="R5" s="171"/>
      <c r="S5" s="171"/>
      <c r="T5" s="171"/>
      <c r="U5" s="171"/>
      <c r="V5" s="261" t="s">
        <v>113</v>
      </c>
      <c r="W5" s="263"/>
      <c r="X5" s="171"/>
      <c r="Y5" s="171"/>
      <c r="Z5" s="171"/>
      <c r="AA5" s="171"/>
      <c r="AB5" s="171"/>
      <c r="AC5" s="171"/>
      <c r="AD5" s="171"/>
      <c r="AE5" s="172"/>
    </row>
    <row r="6" spans="1:31" ht="15" thickBot="1">
      <c r="A6" s="173" t="s">
        <v>114</v>
      </c>
      <c r="B6" s="255" t="s">
        <v>115</v>
      </c>
      <c r="C6" s="256"/>
      <c r="D6" s="255" t="s">
        <v>116</v>
      </c>
      <c r="E6" s="256"/>
      <c r="F6" s="174"/>
      <c r="G6" s="174"/>
      <c r="H6" s="174"/>
      <c r="I6" s="174"/>
      <c r="J6" s="257" t="s">
        <v>117</v>
      </c>
      <c r="K6" s="258"/>
      <c r="L6" s="258"/>
      <c r="M6" s="259"/>
      <c r="N6" s="174"/>
      <c r="O6" s="174"/>
      <c r="P6" s="174"/>
      <c r="Q6" s="174"/>
      <c r="R6" s="255" t="s">
        <v>118</v>
      </c>
      <c r="S6" s="256"/>
      <c r="T6" s="243" t="s">
        <v>119</v>
      </c>
      <c r="U6" s="244"/>
      <c r="V6" s="243" t="s">
        <v>120</v>
      </c>
      <c r="W6" s="244"/>
      <c r="X6" s="243" t="s">
        <v>121</v>
      </c>
      <c r="Y6" s="244"/>
      <c r="Z6" s="174"/>
      <c r="AA6" s="174"/>
      <c r="AB6" s="243" t="s">
        <v>122</v>
      </c>
      <c r="AC6" s="244"/>
      <c r="AD6" s="174"/>
      <c r="AE6" s="175"/>
    </row>
    <row r="7" spans="1:31" ht="29.1" customHeight="1">
      <c r="A7" s="176" t="s">
        <v>123</v>
      </c>
      <c r="B7" s="245" t="s">
        <v>124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7"/>
      <c r="AD7" s="53"/>
      <c r="AE7" s="53"/>
    </row>
    <row r="8" spans="1:31" ht="33.6" customHeight="1">
      <c r="A8" s="176" t="s">
        <v>125</v>
      </c>
      <c r="B8" s="248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  <c r="Y8" s="249"/>
      <c r="Z8" s="249"/>
      <c r="AA8" s="249"/>
      <c r="AB8" s="249"/>
      <c r="AC8" s="250"/>
      <c r="AD8" s="53"/>
      <c r="AE8" s="53"/>
    </row>
    <row r="9" spans="1:31" ht="24.6" customHeight="1">
      <c r="A9" s="176" t="s">
        <v>126</v>
      </c>
      <c r="B9" s="248"/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49"/>
      <c r="AB9" s="249"/>
      <c r="AC9" s="250"/>
      <c r="AD9" s="177"/>
      <c r="AE9" s="177"/>
    </row>
    <row r="10" spans="1:31" ht="24.6" customHeight="1">
      <c r="A10" s="176" t="s">
        <v>127</v>
      </c>
      <c r="B10" s="251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3"/>
      <c r="AD10" s="53"/>
      <c r="AE10" s="53"/>
    </row>
    <row r="11" spans="1:31" ht="43.5">
      <c r="A11" s="176" t="s">
        <v>128</v>
      </c>
      <c r="B11" s="184"/>
      <c r="C11" s="185"/>
      <c r="D11" s="184"/>
      <c r="E11" s="185"/>
      <c r="F11" s="184"/>
      <c r="G11" s="185"/>
      <c r="H11" s="254" t="s">
        <v>129</v>
      </c>
      <c r="I11" s="254"/>
      <c r="J11" s="235"/>
      <c r="K11" s="235"/>
      <c r="L11" s="237">
        <v>11</v>
      </c>
      <c r="M11" s="238"/>
      <c r="N11" s="181"/>
      <c r="O11" s="181"/>
      <c r="P11" s="237">
        <v>9</v>
      </c>
      <c r="Q11" s="238"/>
      <c r="R11" s="184"/>
      <c r="S11" s="185"/>
      <c r="T11" s="242">
        <v>9.5</v>
      </c>
      <c r="U11" s="242"/>
      <c r="V11" s="228"/>
      <c r="W11" s="229"/>
      <c r="X11" s="184"/>
      <c r="Y11" s="185"/>
      <c r="Z11" s="228"/>
      <c r="AA11" s="229"/>
      <c r="AB11" s="230"/>
      <c r="AC11" s="230"/>
      <c r="AD11" s="230"/>
      <c r="AE11" s="53"/>
    </row>
    <row r="12" spans="1:31" ht="43.5">
      <c r="A12" s="176" t="s">
        <v>130</v>
      </c>
      <c r="B12" s="184"/>
      <c r="C12" s="185"/>
      <c r="D12" s="184"/>
      <c r="E12" s="185"/>
      <c r="F12" s="184"/>
      <c r="G12" s="185"/>
      <c r="H12" s="235"/>
      <c r="I12" s="235"/>
      <c r="J12" s="233">
        <v>13</v>
      </c>
      <c r="K12" s="233"/>
      <c r="L12" s="241" t="s">
        <v>131</v>
      </c>
      <c r="M12" s="241"/>
      <c r="N12" s="181"/>
      <c r="O12" s="181"/>
      <c r="P12" s="181"/>
      <c r="Q12" s="181"/>
      <c r="R12" s="231">
        <v>13.5</v>
      </c>
      <c r="S12" s="231"/>
      <c r="T12" s="184"/>
      <c r="U12" s="185"/>
      <c r="V12" s="240">
        <v>13.5</v>
      </c>
      <c r="W12" s="240"/>
      <c r="X12" s="184"/>
      <c r="Y12" s="185"/>
      <c r="Z12" s="228"/>
      <c r="AA12" s="229"/>
      <c r="AB12" s="230"/>
      <c r="AC12" s="230"/>
      <c r="AD12" s="230"/>
      <c r="AE12" s="53"/>
    </row>
    <row r="13" spans="1:31" ht="43.5">
      <c r="A13" s="176" t="s">
        <v>132</v>
      </c>
      <c r="B13" s="184"/>
      <c r="C13" s="185"/>
      <c r="D13" s="184"/>
      <c r="E13" s="185"/>
      <c r="F13" s="184"/>
      <c r="G13" s="185"/>
      <c r="H13" s="235"/>
      <c r="I13" s="235"/>
      <c r="J13" s="231">
        <v>3.75</v>
      </c>
      <c r="K13" s="231"/>
      <c r="L13" s="235"/>
      <c r="M13" s="235"/>
      <c r="N13" s="237">
        <v>3.75</v>
      </c>
      <c r="O13" s="238"/>
      <c r="P13" s="239" t="s">
        <v>133</v>
      </c>
      <c r="Q13" s="240"/>
      <c r="R13" s="231">
        <v>3.75</v>
      </c>
      <c r="S13" s="231"/>
      <c r="T13" s="236" t="s">
        <v>134</v>
      </c>
      <c r="U13" s="231"/>
      <c r="V13" s="228"/>
      <c r="W13" s="229"/>
      <c r="X13" s="184"/>
      <c r="Y13" s="185"/>
      <c r="Z13" s="228"/>
      <c r="AA13" s="229"/>
      <c r="AB13" s="230"/>
      <c r="AC13" s="230"/>
      <c r="AD13" s="230"/>
      <c r="AE13" s="53"/>
    </row>
    <row r="14" spans="1:31" ht="57.95">
      <c r="A14" s="176" t="s">
        <v>135</v>
      </c>
      <c r="B14" s="184"/>
      <c r="C14" s="185"/>
      <c r="D14" s="184"/>
      <c r="E14" s="185"/>
      <c r="F14" s="184"/>
      <c r="G14" s="185"/>
      <c r="H14" s="231">
        <v>10</v>
      </c>
      <c r="I14" s="231"/>
      <c r="J14" s="235"/>
      <c r="K14" s="235"/>
      <c r="L14" s="231">
        <v>10</v>
      </c>
      <c r="M14" s="231"/>
      <c r="N14" s="181"/>
      <c r="O14" s="181"/>
      <c r="P14" s="236">
        <v>10</v>
      </c>
      <c r="Q14" s="231"/>
      <c r="R14" s="184"/>
      <c r="S14" s="185"/>
      <c r="T14" s="236" t="s">
        <v>136</v>
      </c>
      <c r="U14" s="231"/>
      <c r="V14" s="228"/>
      <c r="W14" s="229"/>
      <c r="X14" s="184"/>
      <c r="Y14" s="185"/>
      <c r="Z14" s="228"/>
      <c r="AA14" s="229"/>
      <c r="AB14" s="230"/>
      <c r="AC14" s="230"/>
      <c r="AD14" s="230"/>
      <c r="AE14" s="53"/>
    </row>
    <row r="15" spans="1:31" ht="43.5">
      <c r="A15" s="176" t="s">
        <v>137</v>
      </c>
      <c r="B15" s="184"/>
      <c r="C15" s="185"/>
      <c r="D15" s="184"/>
      <c r="E15" s="185"/>
      <c r="F15" s="184"/>
      <c r="G15" s="185"/>
      <c r="H15" s="235"/>
      <c r="I15" s="235"/>
      <c r="J15" s="231">
        <v>4</v>
      </c>
      <c r="K15" s="231"/>
      <c r="L15" s="235"/>
      <c r="M15" s="235"/>
      <c r="N15" s="231">
        <v>4</v>
      </c>
      <c r="O15" s="231"/>
      <c r="P15" s="181"/>
      <c r="Q15" s="181"/>
      <c r="R15" s="231">
        <v>4</v>
      </c>
      <c r="S15" s="231"/>
      <c r="T15" s="228"/>
      <c r="U15" s="229"/>
      <c r="V15" s="232" t="s">
        <v>138</v>
      </c>
      <c r="W15" s="233"/>
      <c r="X15" s="228"/>
      <c r="Y15" s="229"/>
      <c r="Z15" s="184"/>
      <c r="AA15" s="185"/>
      <c r="AB15" s="230"/>
      <c r="AC15" s="230"/>
      <c r="AD15" s="234"/>
      <c r="AE15" s="53"/>
    </row>
    <row r="16" spans="1:31" ht="57.95">
      <c r="A16" s="176" t="s">
        <v>139</v>
      </c>
      <c r="B16" s="184"/>
      <c r="C16" s="185"/>
      <c r="D16" s="184"/>
      <c r="E16" s="185"/>
      <c r="F16" s="184"/>
      <c r="G16" s="185"/>
      <c r="H16" s="231">
        <v>9.5</v>
      </c>
      <c r="I16" s="231"/>
      <c r="J16" s="235"/>
      <c r="K16" s="235"/>
      <c r="L16" s="231">
        <v>9.5</v>
      </c>
      <c r="M16" s="231"/>
      <c r="N16" s="181"/>
      <c r="O16" s="181"/>
      <c r="P16" s="231">
        <v>9.5</v>
      </c>
      <c r="Q16" s="231"/>
      <c r="R16" s="184"/>
      <c r="S16" s="185"/>
      <c r="T16" s="231">
        <v>9.5</v>
      </c>
      <c r="U16" s="231"/>
      <c r="V16" s="228"/>
      <c r="W16" s="229"/>
      <c r="X16" s="184"/>
      <c r="Y16" s="185"/>
      <c r="Z16" s="228"/>
      <c r="AA16" s="229"/>
      <c r="AB16" s="230"/>
      <c r="AC16" s="230"/>
      <c r="AD16" s="230"/>
      <c r="AE16" s="53"/>
    </row>
  </sheetData>
  <mergeCells count="111">
    <mergeCell ref="B3:C3"/>
    <mergeCell ref="D3:E3"/>
    <mergeCell ref="F3:G3"/>
    <mergeCell ref="H3:I3"/>
    <mergeCell ref="J3:K3"/>
    <mergeCell ref="L3:M3"/>
    <mergeCell ref="Z3:AA3"/>
    <mergeCell ref="AB3:AC3"/>
    <mergeCell ref="AD3:AE3"/>
    <mergeCell ref="J5:M5"/>
    <mergeCell ref="P5:Q5"/>
    <mergeCell ref="V5:W5"/>
    <mergeCell ref="N3:O3"/>
    <mergeCell ref="P3:Q3"/>
    <mergeCell ref="R3:S3"/>
    <mergeCell ref="T3:U3"/>
    <mergeCell ref="V3:W3"/>
    <mergeCell ref="X3:Y3"/>
    <mergeCell ref="X6:Y6"/>
    <mergeCell ref="AB6:AC6"/>
    <mergeCell ref="B7:AC10"/>
    <mergeCell ref="B11:C11"/>
    <mergeCell ref="D11:E11"/>
    <mergeCell ref="F11:G11"/>
    <mergeCell ref="H11:I11"/>
    <mergeCell ref="J11:K11"/>
    <mergeCell ref="L11:M11"/>
    <mergeCell ref="N11:O11"/>
    <mergeCell ref="B6:C6"/>
    <mergeCell ref="D6:E6"/>
    <mergeCell ref="J6:M6"/>
    <mergeCell ref="R6:S6"/>
    <mergeCell ref="T6:U6"/>
    <mergeCell ref="V6:W6"/>
    <mergeCell ref="AB11:AD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P11:Q11"/>
    <mergeCell ref="R11:S11"/>
    <mergeCell ref="T11:U11"/>
    <mergeCell ref="V11:W11"/>
    <mergeCell ref="X11:Y11"/>
    <mergeCell ref="Z11:AA11"/>
    <mergeCell ref="T12:U12"/>
    <mergeCell ref="V12:W12"/>
    <mergeCell ref="X12:Y12"/>
    <mergeCell ref="Z12:AA12"/>
    <mergeCell ref="AB12:AD12"/>
    <mergeCell ref="B13:C13"/>
    <mergeCell ref="D13:E13"/>
    <mergeCell ref="F13:G13"/>
    <mergeCell ref="H13:I13"/>
    <mergeCell ref="J13:K13"/>
    <mergeCell ref="X13:Y13"/>
    <mergeCell ref="Z13:AA13"/>
    <mergeCell ref="AB13:AD13"/>
    <mergeCell ref="B14:C14"/>
    <mergeCell ref="D14:E14"/>
    <mergeCell ref="F14:G14"/>
    <mergeCell ref="H14:I14"/>
    <mergeCell ref="J14:K14"/>
    <mergeCell ref="L14:M14"/>
    <mergeCell ref="N14:O14"/>
    <mergeCell ref="L13:M13"/>
    <mergeCell ref="N13:O13"/>
    <mergeCell ref="P13:Q13"/>
    <mergeCell ref="R13:S13"/>
    <mergeCell ref="T13:U13"/>
    <mergeCell ref="V13:W13"/>
    <mergeCell ref="AB14:AD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P14:Q14"/>
    <mergeCell ref="R14:S14"/>
    <mergeCell ref="T14:U14"/>
    <mergeCell ref="V14:W14"/>
    <mergeCell ref="X14:Y14"/>
    <mergeCell ref="Z14:AA14"/>
    <mergeCell ref="T15:U15"/>
    <mergeCell ref="V15:W15"/>
    <mergeCell ref="X15:Y15"/>
    <mergeCell ref="Z15:AA15"/>
    <mergeCell ref="AB15:AD15"/>
    <mergeCell ref="B16:C16"/>
    <mergeCell ref="D16:E16"/>
    <mergeCell ref="F16:G16"/>
    <mergeCell ref="H16:I16"/>
    <mergeCell ref="J16:K16"/>
    <mergeCell ref="X16:Y16"/>
    <mergeCell ref="Z16:AA16"/>
    <mergeCell ref="AB16:AD16"/>
    <mergeCell ref="L16:M16"/>
    <mergeCell ref="N16:O16"/>
    <mergeCell ref="P16:Q16"/>
    <mergeCell ref="R16:S16"/>
    <mergeCell ref="T16:U16"/>
    <mergeCell ref="V16:W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64E9-B764-41BB-8FC0-CC6E945AF837}">
  <dimension ref="A1:AE9"/>
  <sheetViews>
    <sheetView topLeftCell="F1" zoomScale="70" zoomScaleNormal="70" workbookViewId="0">
      <selection activeCell="N5" sqref="N5:Q5"/>
    </sheetView>
  </sheetViews>
  <sheetFormatPr defaultRowHeight="14.45"/>
  <sheetData>
    <row r="1" spans="1:31">
      <c r="B1" s="206" t="s">
        <v>140</v>
      </c>
      <c r="C1" s="206"/>
      <c r="D1" s="206" t="s">
        <v>141</v>
      </c>
      <c r="E1" s="206"/>
      <c r="F1" s="206" t="s">
        <v>142</v>
      </c>
      <c r="G1" s="206"/>
      <c r="H1" s="206" t="s">
        <v>143</v>
      </c>
      <c r="I1" s="206"/>
      <c r="J1" s="206" t="s">
        <v>144</v>
      </c>
      <c r="K1" s="206"/>
      <c r="L1" s="206" t="s">
        <v>145</v>
      </c>
      <c r="M1" s="206"/>
      <c r="N1" s="206" t="s">
        <v>146</v>
      </c>
      <c r="O1" s="206"/>
      <c r="P1" s="206" t="s">
        <v>147</v>
      </c>
      <c r="Q1" s="206"/>
      <c r="R1" s="206" t="s">
        <v>148</v>
      </c>
      <c r="S1" s="206"/>
      <c r="T1" s="206" t="s">
        <v>149</v>
      </c>
      <c r="U1" s="206"/>
      <c r="V1" s="206" t="s">
        <v>150</v>
      </c>
      <c r="W1" s="206"/>
      <c r="X1" s="206" t="s">
        <v>151</v>
      </c>
      <c r="Y1" s="206"/>
      <c r="Z1" s="206" t="s">
        <v>152</v>
      </c>
      <c r="AA1" s="206"/>
      <c r="AB1" s="206" t="s">
        <v>153</v>
      </c>
      <c r="AC1" s="206"/>
      <c r="AD1" s="181" t="s">
        <v>140</v>
      </c>
      <c r="AE1" s="181"/>
    </row>
    <row r="2" spans="1:31">
      <c r="A2" s="178" t="s">
        <v>154</v>
      </c>
      <c r="B2" s="206" t="s">
        <v>155</v>
      </c>
      <c r="C2" s="206"/>
      <c r="D2" s="206" t="s">
        <v>156</v>
      </c>
      <c r="E2" s="206"/>
      <c r="F2" s="206" t="s">
        <v>157</v>
      </c>
      <c r="G2" s="206"/>
      <c r="H2" s="206" t="s">
        <v>158</v>
      </c>
      <c r="I2" s="206"/>
      <c r="J2" s="206" t="s">
        <v>159</v>
      </c>
      <c r="K2" s="206"/>
      <c r="L2" s="206" t="s">
        <v>160</v>
      </c>
      <c r="M2" s="206"/>
      <c r="N2" s="206" t="s">
        <v>161</v>
      </c>
      <c r="O2" s="206"/>
      <c r="P2" s="206" t="s">
        <v>162</v>
      </c>
      <c r="Q2" s="206"/>
      <c r="R2" s="206" t="s">
        <v>163</v>
      </c>
      <c r="S2" s="206"/>
      <c r="T2" s="206" t="s">
        <v>164</v>
      </c>
      <c r="U2" s="206"/>
      <c r="V2" s="206" t="s">
        <v>165</v>
      </c>
      <c r="W2" s="206"/>
      <c r="X2" s="206" t="s">
        <v>166</v>
      </c>
      <c r="Y2" s="206"/>
      <c r="Z2" s="206" t="s">
        <v>167</v>
      </c>
      <c r="AA2" s="206"/>
      <c r="AB2" s="206" t="s">
        <v>168</v>
      </c>
      <c r="AC2" s="206"/>
      <c r="AD2" s="206" t="s">
        <v>169</v>
      </c>
      <c r="AE2" s="206"/>
    </row>
    <row r="3" spans="1:31" ht="43.5">
      <c r="A3" s="179" t="s">
        <v>170</v>
      </c>
      <c r="B3" s="184"/>
      <c r="C3" s="185"/>
      <c r="D3" s="184"/>
      <c r="E3" s="185"/>
      <c r="F3" s="184"/>
      <c r="G3" s="185"/>
      <c r="H3" s="184"/>
      <c r="I3" s="185"/>
      <c r="J3" s="184" t="s">
        <v>171</v>
      </c>
      <c r="K3" s="185"/>
      <c r="L3" s="184"/>
      <c r="M3" s="185"/>
      <c r="N3" s="184"/>
      <c r="O3" s="185"/>
      <c r="P3" s="184"/>
      <c r="Q3" s="185"/>
      <c r="R3" s="201" t="s">
        <v>172</v>
      </c>
      <c r="S3" s="197"/>
      <c r="T3" s="194">
        <v>5.75</v>
      </c>
      <c r="U3" s="195"/>
      <c r="V3" s="184"/>
      <c r="W3" s="185"/>
      <c r="X3" s="194">
        <v>5.75</v>
      </c>
      <c r="Y3" s="195"/>
      <c r="Z3" s="184"/>
      <c r="AA3" s="185"/>
      <c r="AB3" s="194">
        <v>5.75</v>
      </c>
      <c r="AC3" s="195"/>
      <c r="AD3" s="53"/>
      <c r="AE3" s="53"/>
    </row>
    <row r="4" spans="1:31" ht="29.1">
      <c r="A4" s="179" t="s">
        <v>126</v>
      </c>
      <c r="B4" s="201" t="s">
        <v>173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197"/>
      <c r="AD4" s="53"/>
      <c r="AE4" s="53"/>
    </row>
    <row r="5" spans="1:31" ht="43.5">
      <c r="A5" s="179" t="s">
        <v>174</v>
      </c>
      <c r="B5" s="184"/>
      <c r="C5" s="185"/>
      <c r="D5" s="184"/>
      <c r="E5" s="185"/>
      <c r="F5" s="201" t="s">
        <v>175</v>
      </c>
      <c r="G5" s="197"/>
      <c r="H5" s="201" t="s">
        <v>176</v>
      </c>
      <c r="I5" s="197"/>
      <c r="J5" s="184"/>
      <c r="K5" s="185"/>
      <c r="N5" s="203" t="s">
        <v>177</v>
      </c>
      <c r="O5" s="204"/>
      <c r="P5" s="204"/>
      <c r="Q5" s="205"/>
      <c r="R5" s="184"/>
      <c r="S5" s="185"/>
      <c r="T5" s="200">
        <v>12</v>
      </c>
      <c r="U5" s="191"/>
      <c r="V5" s="184"/>
      <c r="W5" s="185"/>
      <c r="X5" s="184"/>
      <c r="Y5" s="185"/>
      <c r="Z5" s="200">
        <v>12</v>
      </c>
      <c r="AA5" s="191"/>
      <c r="AB5" s="200">
        <v>12</v>
      </c>
      <c r="AC5" s="191"/>
      <c r="AD5" s="53"/>
      <c r="AE5" s="53"/>
    </row>
    <row r="6" spans="1:31" ht="29.1">
      <c r="A6" s="179" t="s">
        <v>127</v>
      </c>
      <c r="B6" s="198">
        <v>5.21</v>
      </c>
      <c r="C6" s="199"/>
      <c r="D6" s="184"/>
      <c r="E6" s="185"/>
      <c r="F6" s="184"/>
      <c r="G6" s="185"/>
      <c r="H6" s="198">
        <v>5.21</v>
      </c>
      <c r="I6" s="199"/>
      <c r="J6" s="184"/>
      <c r="K6" s="185"/>
      <c r="L6" s="198">
        <v>5.5</v>
      </c>
      <c r="M6" s="199"/>
      <c r="N6" s="181"/>
      <c r="O6" s="181"/>
      <c r="P6" s="198">
        <v>5.5</v>
      </c>
      <c r="Q6" s="199"/>
      <c r="R6" s="181"/>
      <c r="S6" s="181"/>
      <c r="T6" s="184"/>
      <c r="U6" s="185"/>
      <c r="V6" s="194">
        <v>5.5</v>
      </c>
      <c r="W6" s="195"/>
      <c r="X6" s="184"/>
      <c r="Y6" s="185"/>
      <c r="Z6" s="194">
        <v>5.5</v>
      </c>
      <c r="AA6" s="195"/>
      <c r="AB6" s="194">
        <v>5.5</v>
      </c>
      <c r="AC6" s="195"/>
      <c r="AD6" s="53"/>
      <c r="AE6" s="53"/>
    </row>
    <row r="7" spans="1:31" ht="43.5">
      <c r="A7" s="179" t="s">
        <v>132</v>
      </c>
      <c r="B7" s="181"/>
      <c r="C7" s="181"/>
      <c r="D7" s="181"/>
      <c r="E7" s="181"/>
      <c r="F7" s="181"/>
      <c r="G7" s="181"/>
      <c r="H7" s="181"/>
      <c r="I7" s="181"/>
      <c r="J7" s="196">
        <v>3.75</v>
      </c>
      <c r="K7" s="197"/>
      <c r="L7" s="196">
        <v>3.75</v>
      </c>
      <c r="M7" s="197"/>
      <c r="N7" s="181"/>
      <c r="O7" s="181"/>
      <c r="P7" s="196">
        <v>3.75</v>
      </c>
      <c r="Q7" s="197"/>
      <c r="R7" s="181"/>
      <c r="S7" s="181"/>
      <c r="T7" s="186">
        <v>3.75</v>
      </c>
      <c r="U7" s="191"/>
      <c r="V7" s="184"/>
      <c r="W7" s="185"/>
      <c r="X7" s="186">
        <v>3.75</v>
      </c>
      <c r="Y7" s="191"/>
      <c r="Z7" s="184"/>
      <c r="AA7" s="185"/>
      <c r="AB7" s="192">
        <v>3.75</v>
      </c>
      <c r="AC7" s="193"/>
      <c r="AD7" s="53"/>
      <c r="AE7" s="53"/>
    </row>
    <row r="8" spans="1:31" ht="43.5">
      <c r="A8" s="179" t="s">
        <v>137</v>
      </c>
      <c r="B8" s="184"/>
      <c r="C8" s="185"/>
      <c r="D8" s="184"/>
      <c r="E8" s="185"/>
      <c r="F8" s="184"/>
      <c r="G8" s="185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9" t="s">
        <v>172</v>
      </c>
      <c r="S8" s="190"/>
      <c r="T8" s="186">
        <v>4</v>
      </c>
      <c r="U8" s="187"/>
      <c r="V8" s="184"/>
      <c r="W8" s="185"/>
      <c r="X8" s="186">
        <v>4</v>
      </c>
      <c r="Y8" s="187"/>
      <c r="Z8" s="184"/>
      <c r="AA8" s="185"/>
      <c r="AB8" s="180">
        <v>4</v>
      </c>
      <c r="AC8" s="180"/>
      <c r="AD8" s="188"/>
      <c r="AE8" s="53"/>
    </row>
    <row r="9" spans="1:31" ht="57.95">
      <c r="A9" s="179" t="s">
        <v>139</v>
      </c>
      <c r="B9" s="184"/>
      <c r="C9" s="185"/>
      <c r="D9" s="184"/>
      <c r="E9" s="185"/>
      <c r="F9" s="184"/>
      <c r="G9" s="185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2" t="s">
        <v>178</v>
      </c>
      <c r="S9" s="183"/>
      <c r="T9" s="184"/>
      <c r="U9" s="185"/>
      <c r="V9" s="186">
        <v>9.5</v>
      </c>
      <c r="W9" s="187"/>
      <c r="X9" s="184"/>
      <c r="Y9" s="185"/>
      <c r="Z9" s="186">
        <v>9.5</v>
      </c>
      <c r="AA9" s="187"/>
      <c r="AB9" s="180">
        <v>9.5</v>
      </c>
      <c r="AC9" s="180"/>
      <c r="AD9" s="180"/>
      <c r="AE9" s="53"/>
    </row>
  </sheetData>
  <mergeCells count="113">
    <mergeCell ref="Z1:AA1"/>
    <mergeCell ref="AB1:AC1"/>
    <mergeCell ref="AD1:AE1"/>
    <mergeCell ref="B2:C2"/>
    <mergeCell ref="D2:E2"/>
    <mergeCell ref="F2:G2"/>
    <mergeCell ref="H2:I2"/>
    <mergeCell ref="J2:K2"/>
    <mergeCell ref="L2:M2"/>
    <mergeCell ref="N2:O2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  <mergeCell ref="R3:S3"/>
    <mergeCell ref="T3:U3"/>
    <mergeCell ref="V3:W3"/>
    <mergeCell ref="X3:Y3"/>
    <mergeCell ref="Z3:AA3"/>
    <mergeCell ref="AB3:AC3"/>
    <mergeCell ref="AB2:AC2"/>
    <mergeCell ref="AD2:AE2"/>
    <mergeCell ref="B3:C3"/>
    <mergeCell ref="D3:E3"/>
    <mergeCell ref="F3:G3"/>
    <mergeCell ref="H3:I3"/>
    <mergeCell ref="J3:K3"/>
    <mergeCell ref="L3:M3"/>
    <mergeCell ref="N3:O3"/>
    <mergeCell ref="P3:Q3"/>
    <mergeCell ref="P2:Q2"/>
    <mergeCell ref="R2:S2"/>
    <mergeCell ref="T2:U2"/>
    <mergeCell ref="V2:W2"/>
    <mergeCell ref="X2:Y2"/>
    <mergeCell ref="Z2:AA2"/>
    <mergeCell ref="B4:AC4"/>
    <mergeCell ref="B5:C5"/>
    <mergeCell ref="D5:E5"/>
    <mergeCell ref="F5:G5"/>
    <mergeCell ref="H5:I5"/>
    <mergeCell ref="J5:K5"/>
    <mergeCell ref="N5:Q5"/>
    <mergeCell ref="R5:S5"/>
    <mergeCell ref="T5:U5"/>
    <mergeCell ref="V5:W5"/>
    <mergeCell ref="X5:Y5"/>
    <mergeCell ref="Z5:AA5"/>
    <mergeCell ref="AB5:AC5"/>
    <mergeCell ref="B6:C6"/>
    <mergeCell ref="D6:E6"/>
    <mergeCell ref="F6:G6"/>
    <mergeCell ref="H6:I6"/>
    <mergeCell ref="J6:K6"/>
    <mergeCell ref="L6:M6"/>
    <mergeCell ref="N6:O6"/>
    <mergeCell ref="AB6:AC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P6:Q6"/>
    <mergeCell ref="R6:S6"/>
    <mergeCell ref="T6:U6"/>
    <mergeCell ref="V6:W6"/>
    <mergeCell ref="X6:Y6"/>
    <mergeCell ref="Z6:AA6"/>
    <mergeCell ref="T7:U7"/>
    <mergeCell ref="V7:W7"/>
    <mergeCell ref="X7:Y7"/>
    <mergeCell ref="Z7:AA7"/>
    <mergeCell ref="AB7:AC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L9:M9"/>
    <mergeCell ref="N9:O9"/>
    <mergeCell ref="L8:M8"/>
    <mergeCell ref="N8:O8"/>
    <mergeCell ref="AB9:AD9"/>
    <mergeCell ref="P9:Q9"/>
    <mergeCell ref="R9:S9"/>
    <mergeCell ref="T9:U9"/>
    <mergeCell ref="V9:W9"/>
    <mergeCell ref="X9:Y9"/>
    <mergeCell ref="Z9:AA9"/>
    <mergeCell ref="X8:Y8"/>
    <mergeCell ref="Z8:AA8"/>
    <mergeCell ref="AB8:AD8"/>
    <mergeCell ref="P8:Q8"/>
    <mergeCell ref="R8:S8"/>
    <mergeCell ref="T8:U8"/>
    <mergeCell ref="V8:W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b774-b25b-4101-9e68-cc36a3f1df02">
      <Terms xmlns="http://schemas.microsoft.com/office/infopath/2007/PartnerControls"/>
    </lcf76f155ced4ddcb4097134ff3c332f>
    <TaxCatchAll xmlns="b6636b93-18b8-413a-ad69-b9970419e30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DD1E893ED5C4FA279309D8FB94576" ma:contentTypeVersion="16" ma:contentTypeDescription="Create a new document." ma:contentTypeScope="" ma:versionID="a1fb89d0a1cae7b14d50f4eb6ce51601">
  <xsd:schema xmlns:xsd="http://www.w3.org/2001/XMLSchema" xmlns:xs="http://www.w3.org/2001/XMLSchema" xmlns:p="http://schemas.microsoft.com/office/2006/metadata/properties" xmlns:ns2="6ae9b774-b25b-4101-9e68-cc36a3f1df02" xmlns:ns3="b6636b93-18b8-413a-ad69-b9970419e304" targetNamespace="http://schemas.microsoft.com/office/2006/metadata/properties" ma:root="true" ma:fieldsID="570c7dd38cdf31d98456311071349b55" ns2:_="" ns3:_="">
    <xsd:import namespace="6ae9b774-b25b-4101-9e68-cc36a3f1df02"/>
    <xsd:import namespace="b6636b93-18b8-413a-ad69-b9970419e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b774-b25b-4101-9e68-cc36a3f1df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cc9d77-bb2a-43eb-bfb4-62b0e9b8e9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36b93-18b8-413a-ad69-b9970419e30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d5dd961-447e-4afc-822b-e019cfcf0544}" ma:internalName="TaxCatchAll" ma:showField="CatchAllData" ma:web="b6636b93-18b8-413a-ad69-b9970419e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FFBE09-CF22-47B1-93CB-1AAAE96154FB}"/>
</file>

<file path=customXml/itemProps2.xml><?xml version="1.0" encoding="utf-8"?>
<ds:datastoreItem xmlns:ds="http://schemas.openxmlformats.org/officeDocument/2006/customXml" ds:itemID="{E3F9ABF8-D849-4D72-A8CA-6C474A218BEA}"/>
</file>

<file path=customXml/itemProps3.xml><?xml version="1.0" encoding="utf-8"?>
<ds:datastoreItem xmlns:ds="http://schemas.openxmlformats.org/officeDocument/2006/customXml" ds:itemID="{950E1DC6-DA74-495C-BA4E-0FAA859EFE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DAMM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Gianni Stocco</dc:creator>
  <cp:keywords/>
  <dc:description/>
  <cp:lastModifiedBy>Lídia Ocaña</cp:lastModifiedBy>
  <cp:revision/>
  <dcterms:created xsi:type="dcterms:W3CDTF">2026-02-11T11:39:00Z</dcterms:created>
  <dcterms:modified xsi:type="dcterms:W3CDTF">2026-05-22T14:50:39Z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0x010100065DD1E893ED5C4FA279309D8FB94576</vt:lpwstr>
  </property>
  <property fmtid="{D5CDD505-2E9C-101B-9397-08002B2CF9AE}" pid="3" name="MediaServiceImageTags">
    <vt:lpwstr/>
  </property>
</Properties>
</file>